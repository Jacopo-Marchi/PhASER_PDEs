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ga/Documents/Uni/Year 3/NSC3002 Research Project/Experimental Data/Scanner OD/"/>
    </mc:Choice>
  </mc:AlternateContent>
  <xr:revisionPtr revIDLastSave="0" documentId="13_ncr:1_{1BE8E292-3FC6-4249-A905-E74C8043CE35}" xr6:coauthVersionLast="47" xr6:coauthVersionMax="47" xr10:uidLastSave="{00000000-0000-0000-0000-000000000000}"/>
  <bookViews>
    <workbookView xWindow="0" yWindow="760" windowWidth="30240" windowHeight="18880" xr2:uid="{BE942BF7-5AF4-C246-9C20-88CEA9AEAF4C}"/>
  </bookViews>
  <sheets>
    <sheet name="Sheet1" sheetId="1" r:id="rId1"/>
    <sheet name="CFU Calibration" sheetId="2" r:id="rId2"/>
    <sheet name="OD 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B17" i="2"/>
  <c r="C15" i="3" l="1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14" i="3"/>
  <c r="B16" i="2"/>
  <c r="B15" i="2"/>
  <c r="B14" i="2"/>
  <c r="L8" i="1"/>
  <c r="O10" i="1"/>
  <c r="O9" i="1"/>
  <c r="O8" i="1"/>
  <c r="O7" i="1"/>
  <c r="O6" i="1"/>
  <c r="O5" i="1"/>
  <c r="J10" i="1"/>
  <c r="M10" i="1" s="1"/>
  <c r="J9" i="1"/>
  <c r="M9" i="1" s="1"/>
  <c r="I10" i="1"/>
  <c r="L10" i="1" s="1"/>
  <c r="I9" i="1"/>
  <c r="L9" i="1" s="1"/>
  <c r="H10" i="1"/>
  <c r="K10" i="1" s="1"/>
  <c r="H9" i="1"/>
  <c r="K9" i="1" s="1"/>
  <c r="J8" i="1"/>
  <c r="M8" i="1" s="1"/>
  <c r="I8" i="1"/>
  <c r="H8" i="1"/>
  <c r="K8" i="1" s="1"/>
  <c r="L3" i="1"/>
  <c r="M3" i="1"/>
  <c r="K3" i="1"/>
  <c r="J7" i="1"/>
  <c r="M7" i="1" s="1"/>
  <c r="I7" i="1"/>
  <c r="L7" i="1" s="1"/>
  <c r="H7" i="1"/>
  <c r="K7" i="1" s="1"/>
  <c r="K6" i="1"/>
  <c r="J6" i="1"/>
  <c r="M6" i="1" s="1"/>
  <c r="I6" i="1"/>
  <c r="L6" i="1" s="1"/>
  <c r="H6" i="1"/>
  <c r="N7" i="1"/>
  <c r="N6" i="1"/>
  <c r="N5" i="1"/>
  <c r="N4" i="1"/>
  <c r="L5" i="1"/>
  <c r="J5" i="1"/>
  <c r="M5" i="1" s="1"/>
  <c r="I5" i="1"/>
  <c r="H5" i="1"/>
  <c r="K5" i="1" s="1"/>
  <c r="J4" i="1"/>
  <c r="M4" i="1" s="1"/>
  <c r="I4" i="1"/>
  <c r="L4" i="1" s="1"/>
  <c r="H4" i="1"/>
  <c r="K4" i="1" s="1"/>
</calcChain>
</file>

<file path=xl/sharedStrings.xml><?xml version="1.0" encoding="utf-8"?>
<sst xmlns="http://schemas.openxmlformats.org/spreadsheetml/2006/main" count="36" uniqueCount="24">
  <si>
    <t>Plate</t>
  </si>
  <si>
    <t>Red</t>
  </si>
  <si>
    <t>Green</t>
  </si>
  <si>
    <t>Blue</t>
  </si>
  <si>
    <t>Mean Pixel Intensity</t>
  </si>
  <si>
    <t>Transmission (%)</t>
  </si>
  <si>
    <t>1 LB Control</t>
  </si>
  <si>
    <t>2 Undiluted</t>
  </si>
  <si>
    <t>3 10x dilution</t>
  </si>
  <si>
    <t>4 100x dilution</t>
  </si>
  <si>
    <t>5 1000x dilution</t>
  </si>
  <si>
    <t>sd</t>
  </si>
  <si>
    <t>Absorbance (AU)</t>
  </si>
  <si>
    <t>OD600 (AU)</t>
  </si>
  <si>
    <t>6 2x dilution</t>
  </si>
  <si>
    <t>7 4x dilution</t>
  </si>
  <si>
    <t>8 6x dilution</t>
  </si>
  <si>
    <t>CFU/ml</t>
  </si>
  <si>
    <t>Mean Pixel Value (Blue)</t>
  </si>
  <si>
    <t>Gray Value</t>
  </si>
  <si>
    <t>Area</t>
  </si>
  <si>
    <t>Grey Value</t>
  </si>
  <si>
    <t>OD600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</si>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</sst>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5" xfId="0" applyBorder="1"/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5" xfId="0" applyFill="1" applyBorder="1"/>
    <xf numFmtId="0" fontId="0" fillId="6" borderId="0" xfId="0" applyFill="1"/>
    <xf numFmtId="3" fontId="0" fillId="0" borderId="0" xfId="0" applyNumberFormat="1"/>
    <xf numFmtId="0" fontId="0" fillId="6" borderId="8" xfId="0" applyFill="1" applyBorder="1"/>
    <xf numFmtId="0" fontId="0" fillId="0" borderId="8" xfId="0" applyBorder="1"/>
    <xf numFmtId="0" fontId="0" fillId="2" borderId="9" xfId="0" applyFill="1" applyBorder="1"/>
    <xf numFmtId="0" fontId="0" fillId="0" borderId="10" xfId="0" applyBorder="1"/>
    <xf numFmtId="0" fontId="0" fillId="6" borderId="10" xfId="0" applyFill="1" applyBorder="1"/>
    <xf numFmtId="0" fontId="2" fillId="6" borderId="7" xfId="0" applyFont="1" applyFill="1" applyBorder="1"/>
    <xf numFmtId="0" fontId="2" fillId="6" borderId="0" xfId="0" applyFont="1" applyFill="1"/>
    <xf numFmtId="0" fontId="2" fillId="6" borderId="6" xfId="0" applyFont="1" applyFill="1" applyBorder="1"/>
    <xf numFmtId="0" fontId="0" fillId="6" borderId="11" xfId="0" applyFill="1" applyBorder="1"/>
    <xf numFmtId="11" fontId="0" fillId="6" borderId="10" xfId="0" applyNumberFormat="1" applyFill="1" applyBorder="1"/>
    <xf numFmtId="11" fontId="0" fillId="0" borderId="10" xfId="0" applyNumberFormat="1" applyBorder="1"/>
    <xf numFmtId="0" fontId="3" fillId="0" borderId="10" xfId="0" applyFont="1" applyBorder="1"/>
    <xf numFmtId="11" fontId="0" fillId="0" borderId="0" xfId="0" applyNumberFormat="1"/>
    <xf numFmtId="11" fontId="3" fillId="7" borderId="10" xfId="0" applyNumberFormat="1" applyFont="1" applyFill="1" applyBorder="1"/>
    <xf numFmtId="11" fontId="3" fillId="0" borderId="10" xfId="0" applyNumberFormat="1" applyFont="1" applyBorder="1"/>
    <xf numFmtId="0" fontId="1" fillId="0" borderId="0" xfId="0" applyFont="1"/>
    <xf numFmtId="0" fontId="3" fillId="7" borderId="10" xfId="0" applyFont="1" applyFill="1" applyBorder="1"/>
    <xf numFmtId="0" fontId="3" fillId="7" borderId="11" xfId="0" applyFont="1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Sheet1!$K$4:$K$10</c:f>
              <c:numCache>
                <c:formatCode>General</c:formatCode>
                <c:ptCount val="7"/>
                <c:pt idx="0">
                  <c:v>0.2541776664995028</c:v>
                </c:pt>
                <c:pt idx="1">
                  <c:v>1.5103544488170639E-2</c:v>
                </c:pt>
                <c:pt idx="2">
                  <c:v>-2.5548186977086829E-5</c:v>
                </c:pt>
                <c:pt idx="3">
                  <c:v>-1.3625886750912031E-5</c:v>
                </c:pt>
                <c:pt idx="4">
                  <c:v>0.13164547112265446</c:v>
                </c:pt>
                <c:pt idx="5">
                  <c:v>7.0599710381832548E-2</c:v>
                </c:pt>
                <c:pt idx="6">
                  <c:v>4.4850410300098176E-2</c:v>
                </c:pt>
              </c:numCache>
            </c:numRef>
          </c:xVal>
          <c:yVal>
            <c:numRef>
              <c:f>Sheet1!$N$4:$N$10</c:f>
              <c:numCache>
                <c:formatCode>General</c:formatCode>
                <c:ptCount val="7"/>
                <c:pt idx="0">
                  <c:v>1.92</c:v>
                </c:pt>
                <c:pt idx="1">
                  <c:v>0.53999999999999992</c:v>
                </c:pt>
                <c:pt idx="2">
                  <c:v>0.06</c:v>
                </c:pt>
                <c:pt idx="3">
                  <c:v>0</c:v>
                </c:pt>
                <c:pt idx="4">
                  <c:v>1.55</c:v>
                </c:pt>
                <c:pt idx="5">
                  <c:v>1.1499999999999999</c:v>
                </c:pt>
                <c:pt idx="6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40-8A42-A093-7E981DA7D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618207"/>
        <c:axId val="1861930479"/>
      </c:scatterChart>
      <c:valAx>
        <c:axId val="186161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Scanner Absorbance (AU)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930479"/>
        <c:crosses val="autoZero"/>
        <c:crossBetween val="midCat"/>
      </c:valAx>
      <c:valAx>
        <c:axId val="186193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OD600 (AU)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618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Mean</a:t>
            </a:r>
            <a:r>
              <a:rPr lang="en-GB" baseline="0"/>
              <a:t> Gray Value Calibration Curve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'CFU Calibration'!$A$2:$A$9</c:f>
              <c:numCache>
                <c:formatCode>General</c:formatCode>
                <c:ptCount val="8"/>
                <c:pt idx="0">
                  <c:v>248.26300000000001</c:v>
                </c:pt>
                <c:pt idx="1">
                  <c:v>116.158</c:v>
                </c:pt>
                <c:pt idx="2">
                  <c:v>225.232</c:v>
                </c:pt>
                <c:pt idx="3">
                  <c:v>243.43700000000001</c:v>
                </c:pt>
                <c:pt idx="4">
                  <c:v>245.54599999999999</c:v>
                </c:pt>
                <c:pt idx="5">
                  <c:v>160.40700000000001</c:v>
                </c:pt>
                <c:pt idx="6">
                  <c:v>195.15299999999999</c:v>
                </c:pt>
                <c:pt idx="7">
                  <c:v>208.47300000000001</c:v>
                </c:pt>
              </c:numCache>
            </c:numRef>
          </c:xVal>
          <c:yVal>
            <c:numRef>
              <c:f>'CFU Calibration'!$B$2:$B$9</c:f>
              <c:numCache>
                <c:formatCode>0.00E+00</c:formatCode>
                <c:ptCount val="8"/>
                <c:pt idx="0" formatCode="General">
                  <c:v>0</c:v>
                </c:pt>
                <c:pt idx="1">
                  <c:v>4900000000</c:v>
                </c:pt>
                <c:pt idx="2">
                  <c:v>490000000</c:v>
                </c:pt>
                <c:pt idx="3">
                  <c:v>49000000</c:v>
                </c:pt>
                <c:pt idx="4">
                  <c:v>4900000</c:v>
                </c:pt>
                <c:pt idx="5">
                  <c:v>2450000000</c:v>
                </c:pt>
                <c:pt idx="6">
                  <c:v>1230000000</c:v>
                </c:pt>
                <c:pt idx="7">
                  <c:v>817000000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FF-CD4E-A4EA-68B04656B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653952"/>
        <c:axId val="291944447"/>
      </c:scatterChart>
      <c:valAx>
        <c:axId val="405653952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Grey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944447"/>
        <c:crosses val="autoZero"/>
        <c:crossBetween val="midCat"/>
      </c:valAx>
      <c:valAx>
        <c:axId val="29194444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CFU/ml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65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8.027760063423231E-2"/>
                  <c:y val="-0.66435311451393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'OD Calibration'!$A$2:$A$9</c:f>
              <c:numCache>
                <c:formatCode>General</c:formatCode>
                <c:ptCount val="8"/>
                <c:pt idx="0">
                  <c:v>248.26300000000001</c:v>
                </c:pt>
                <c:pt idx="1">
                  <c:v>116.158</c:v>
                </c:pt>
                <c:pt idx="2">
                  <c:v>225.232</c:v>
                </c:pt>
                <c:pt idx="3">
                  <c:v>243.43700000000001</c:v>
                </c:pt>
                <c:pt idx="4">
                  <c:v>245.54599999999999</c:v>
                </c:pt>
                <c:pt idx="5">
                  <c:v>160.40700000000001</c:v>
                </c:pt>
                <c:pt idx="6">
                  <c:v>195.15299999999999</c:v>
                </c:pt>
                <c:pt idx="7">
                  <c:v>208.47300000000001</c:v>
                </c:pt>
              </c:numCache>
            </c:numRef>
          </c:xVal>
          <c:yVal>
            <c:numRef>
              <c:f>'OD Calibration'!$B$2:$B$9</c:f>
              <c:numCache>
                <c:formatCode>General</c:formatCode>
                <c:ptCount val="8"/>
                <c:pt idx="0">
                  <c:v>0.05</c:v>
                </c:pt>
                <c:pt idx="1">
                  <c:v>1.92</c:v>
                </c:pt>
                <c:pt idx="2">
                  <c:v>0.54</c:v>
                </c:pt>
                <c:pt idx="3">
                  <c:v>0.06</c:v>
                </c:pt>
                <c:pt idx="4">
                  <c:v>0</c:v>
                </c:pt>
                <c:pt idx="5">
                  <c:v>1.55</c:v>
                </c:pt>
                <c:pt idx="6">
                  <c:v>1.1499999999999999</c:v>
                </c:pt>
                <c:pt idx="7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1C-2C43-BA58-4F6D1081B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841471"/>
        <c:axId val="1956152511"/>
      </c:scatterChart>
      <c:valAx>
        <c:axId val="202684147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Grey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152511"/>
        <c:crosses val="autoZero"/>
        <c:crossBetween val="midCat"/>
      </c:valAx>
      <c:valAx>
        <c:axId val="195615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OD600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841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756302</xdr:colOff>
      <xdr:row>11</xdr:row>
      <xdr:rowOff>110880</xdr:rowOff>
    </xdr:from>
    <xdr:to>
      <xdr:col>15</xdr:col>
      <xdr:colOff>45590</xdr:colOff>
      <xdr:row>34</xdr:row>
      <xdr:rowOff>89551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AE6FBA-CC53-1853-6884-471733843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313531</xdr:colOff>
      <xdr:row>6</xdr:row>
      <xdr:rowOff>144463</xdr:rowOff>
    </xdr:from>
    <xdr:to>
      <xdr:col>11</xdr:col>
      <xdr:colOff>619125</xdr:colOff>
      <xdr:row>19</xdr:row>
      <xdr:rowOff>204788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8CAFC6-5BB8-F670-8A54-947708639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430388</xdr:colOff>
      <xdr:row>5</xdr:row>
      <xdr:rowOff>35983</xdr:rowOff>
    </xdr:from>
    <xdr:to>
      <xdr:col>11</xdr:col>
      <xdr:colOff>197555</xdr:colOff>
      <xdr:row>21</xdr:row>
      <xdr:rowOff>98778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54A62E-4329-A923-A7D7-99FD09204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4697E-8721-C34B-9AB4-2C19B42C8C35}">
  <dimension ref="A1:P10"/>
  <sheetViews>
    <sheetView tabSelected="1" zoomScale="120" zoomScaleNormal="120" workbookViewId="0">
      <selection activeCell="Q19" sqref="Q19"/>
    </sheetView>
  </sheetViews>
  <sheetFormatPr baseColWidth="10" defaultRowHeight="16" x14ac:dyDescent="0.2"/>
  <cols>
    <col min="1" max="1" width="14.33203125" bestFit="1" customWidth="1"/>
    <col min="3" max="3" width="6" customWidth="1"/>
    <col min="5" max="5" width="3" bestFit="1" customWidth="1"/>
    <col min="7" max="7" width="6.1640625" bestFit="1" customWidth="1"/>
  </cols>
  <sheetData>
    <row r="1" spans="1:16" s="1" customFormat="1" x14ac:dyDescent="0.2">
      <c r="A1" s="1" t="s">
        <v>0</v>
      </c>
      <c r="B1" s="29" t="s">
        <v>4</v>
      </c>
      <c r="C1" s="29"/>
      <c r="D1" s="29"/>
      <c r="E1" s="29"/>
      <c r="F1" s="29"/>
      <c r="G1" s="2"/>
      <c r="H1" s="29" t="s">
        <v>5</v>
      </c>
      <c r="I1" s="29"/>
      <c r="J1" s="29"/>
      <c r="K1" s="30" t="s">
        <v>12</v>
      </c>
      <c r="L1" s="31"/>
      <c r="M1" s="32"/>
      <c r="N1" s="1" t="s">
        <v>13</v>
      </c>
      <c r="O1" s="1" t="s">
        <v>17</v>
      </c>
    </row>
    <row r="2" spans="1:16" x14ac:dyDescent="0.2">
      <c r="A2" s="4"/>
      <c r="B2" s="5" t="s">
        <v>1</v>
      </c>
      <c r="C2" s="5" t="s">
        <v>11</v>
      </c>
      <c r="D2" s="6" t="s">
        <v>2</v>
      </c>
      <c r="E2" s="6" t="s">
        <v>11</v>
      </c>
      <c r="F2" s="7" t="s">
        <v>3</v>
      </c>
      <c r="G2" s="7" t="s">
        <v>11</v>
      </c>
      <c r="H2" s="5" t="s">
        <v>1</v>
      </c>
      <c r="I2" s="6" t="s">
        <v>2</v>
      </c>
      <c r="J2" s="7" t="s">
        <v>3</v>
      </c>
      <c r="K2" s="5" t="s">
        <v>1</v>
      </c>
      <c r="L2" s="6" t="s">
        <v>2</v>
      </c>
      <c r="M2" s="7" t="s">
        <v>3</v>
      </c>
      <c r="N2" s="13"/>
      <c r="O2" s="13"/>
    </row>
    <row r="3" spans="1:16" x14ac:dyDescent="0.2">
      <c r="A3" s="3" t="s">
        <v>6</v>
      </c>
      <c r="B3">
        <v>254.97800000000001</v>
      </c>
      <c r="C3">
        <v>0.85199999999999998</v>
      </c>
      <c r="D3">
        <v>254.96</v>
      </c>
      <c r="E3">
        <v>1.042</v>
      </c>
      <c r="F3">
        <v>248.26300000000001</v>
      </c>
      <c r="G3" s="10">
        <v>2.625</v>
      </c>
      <c r="H3" s="16">
        <v>100</v>
      </c>
      <c r="I3" s="17">
        <v>100</v>
      </c>
      <c r="J3" s="18">
        <v>100</v>
      </c>
      <c r="K3" s="17">
        <f>2-LOG(H3)</f>
        <v>0</v>
      </c>
      <c r="L3" s="17">
        <f t="shared" ref="L3:M3" si="0">2-LOG(I3)</f>
        <v>0</v>
      </c>
      <c r="M3" s="17">
        <f t="shared" si="0"/>
        <v>0</v>
      </c>
      <c r="N3" s="14">
        <v>0.05</v>
      </c>
      <c r="O3" s="14">
        <v>0</v>
      </c>
    </row>
    <row r="4" spans="1:16" s="9" customFormat="1" x14ac:dyDescent="0.2">
      <c r="A4" s="8" t="s">
        <v>7</v>
      </c>
      <c r="B4" s="9">
        <v>142.012</v>
      </c>
      <c r="C4" s="9">
        <v>6.4320000000000004</v>
      </c>
      <c r="D4" s="9">
        <v>132.84200000000001</v>
      </c>
      <c r="E4" s="9">
        <v>6.758</v>
      </c>
      <c r="F4" s="9">
        <v>116.158</v>
      </c>
      <c r="G4" s="9">
        <v>7.194</v>
      </c>
      <c r="H4" s="11">
        <f>(B4/B3)*100</f>
        <v>55.69578551875064</v>
      </c>
      <c r="I4" s="9">
        <f>(D4/D3)*100</f>
        <v>52.103074992155641</v>
      </c>
      <c r="J4" s="8">
        <f>(F4/F3)*100</f>
        <v>46.788285004209243</v>
      </c>
      <c r="K4" s="9">
        <f>2-LOG(H4)</f>
        <v>0.2541776664995028</v>
      </c>
      <c r="L4" s="9">
        <f t="shared" ref="L4:M4" si="1">2-LOG(I4)</f>
        <v>0.2831366449784638</v>
      </c>
      <c r="M4" s="8">
        <f t="shared" si="1"/>
        <v>0.32986287331302555</v>
      </c>
      <c r="N4" s="15">
        <f>1.97-N3</f>
        <v>1.92</v>
      </c>
      <c r="O4" s="20">
        <v>4900000000</v>
      </c>
    </row>
    <row r="5" spans="1:16" x14ac:dyDescent="0.2">
      <c r="A5" s="3" t="s">
        <v>8</v>
      </c>
      <c r="B5">
        <v>246.26300000000001</v>
      </c>
      <c r="C5">
        <v>2.3420000000000001</v>
      </c>
      <c r="D5">
        <v>241.233</v>
      </c>
      <c r="E5">
        <v>3.1280000000000001</v>
      </c>
      <c r="F5">
        <v>225.232</v>
      </c>
      <c r="G5">
        <v>4.84</v>
      </c>
      <c r="H5" s="12">
        <f>(B5/B3)*100</f>
        <v>96.582058059911049</v>
      </c>
      <c r="I5">
        <f>(D5/D3)*100</f>
        <v>94.616018198933162</v>
      </c>
      <c r="J5" s="3">
        <f>(F5/F3)*100</f>
        <v>90.723144407342218</v>
      </c>
      <c r="K5">
        <f>2-LOG(H5)</f>
        <v>1.5103544488170639E-2</v>
      </c>
      <c r="L5">
        <f t="shared" ref="L5:M7" si="2">2-LOG(I5)</f>
        <v>2.4035332662617925E-2</v>
      </c>
      <c r="M5" s="3">
        <f t="shared" si="2"/>
        <v>4.2281905815675813E-2</v>
      </c>
      <c r="N5" s="14">
        <f>0.59-N3</f>
        <v>0.53999999999999992</v>
      </c>
      <c r="O5" s="21">
        <f>O4/10</f>
        <v>490000000</v>
      </c>
    </row>
    <row r="6" spans="1:16" s="9" customFormat="1" x14ac:dyDescent="0.2">
      <c r="A6" s="8" t="s">
        <v>9</v>
      </c>
      <c r="B6" s="9">
        <v>254.99299999999999</v>
      </c>
      <c r="C6" s="9">
        <v>0.38500000000000001</v>
      </c>
      <c r="D6" s="9">
        <v>254.97</v>
      </c>
      <c r="E6" s="9">
        <v>0.52500000000000002</v>
      </c>
      <c r="F6" s="9">
        <v>243.43700000000001</v>
      </c>
      <c r="G6" s="9">
        <v>3.0179999999999998</v>
      </c>
      <c r="H6" s="11">
        <f>(B6/B3)*100</f>
        <v>100.00588286048206</v>
      </c>
      <c r="I6" s="9">
        <f>(D6/D3)*100</f>
        <v>100.00392218387198</v>
      </c>
      <c r="J6" s="8">
        <f>(F6/F3)*100</f>
        <v>98.056093739300664</v>
      </c>
      <c r="K6" s="9">
        <f>2-LOG(H6)</f>
        <v>-2.5548186977086829E-5</v>
      </c>
      <c r="L6" s="9">
        <f t="shared" si="2"/>
        <v>-1.703349408588295E-5</v>
      </c>
      <c r="M6" s="9">
        <f t="shared" si="2"/>
        <v>8.5254117349276015E-3</v>
      </c>
      <c r="N6" s="15">
        <f>0.11-N3</f>
        <v>0.06</v>
      </c>
      <c r="O6" s="21">
        <f>O5/10</f>
        <v>49000000</v>
      </c>
    </row>
    <row r="7" spans="1:16" x14ac:dyDescent="0.2">
      <c r="A7" s="3" t="s">
        <v>10</v>
      </c>
      <c r="B7">
        <v>254.98599999999999</v>
      </c>
      <c r="C7">
        <v>0.57899999999999996</v>
      </c>
      <c r="D7">
        <v>254.976</v>
      </c>
      <c r="E7">
        <v>0.73199999999999998</v>
      </c>
      <c r="F7">
        <v>245.54599999999999</v>
      </c>
      <c r="G7">
        <v>2.9049999999999998</v>
      </c>
      <c r="H7" s="12">
        <f>(B7/B3)*100</f>
        <v>100.00313752559045</v>
      </c>
      <c r="I7">
        <f>(D7/D3)*100</f>
        <v>100.00627549419517</v>
      </c>
      <c r="J7" s="3">
        <f>(F7/F3)*100</f>
        <v>98.905596081574771</v>
      </c>
      <c r="K7" s="9">
        <f>2-LOG(H7)</f>
        <v>-1.3625886750912031E-5</v>
      </c>
      <c r="L7" s="9">
        <f t="shared" si="2"/>
        <v>-2.7253269871962971E-5</v>
      </c>
      <c r="M7" s="9">
        <f t="shared" si="2"/>
        <v>4.7791353129080782E-3</v>
      </c>
      <c r="N7" s="14">
        <f>0.05-N3</f>
        <v>0</v>
      </c>
      <c r="O7" s="21">
        <f>O6/10</f>
        <v>4900000</v>
      </c>
    </row>
    <row r="8" spans="1:16" s="9" customFormat="1" x14ac:dyDescent="0.2">
      <c r="A8" s="9" t="s">
        <v>14</v>
      </c>
      <c r="B8" s="9">
        <v>188.303</v>
      </c>
      <c r="C8" s="9">
        <v>6.2</v>
      </c>
      <c r="D8" s="9">
        <v>179.71</v>
      </c>
      <c r="E8" s="9">
        <v>7.032</v>
      </c>
      <c r="F8" s="9">
        <v>160.40700000000001</v>
      </c>
      <c r="G8" s="9">
        <v>8.35</v>
      </c>
      <c r="H8" s="11">
        <f>(B8/B3)*100</f>
        <v>73.850685157150807</v>
      </c>
      <c r="I8" s="11">
        <f>(D8/D3)*100</f>
        <v>70.485566363351111</v>
      </c>
      <c r="J8" s="15">
        <f>(F8/F3)*100</f>
        <v>64.611722246166366</v>
      </c>
      <c r="K8" s="9">
        <f t="shared" ref="K8:K10" si="3">2-LOG(H8)</f>
        <v>0.13164547112265446</v>
      </c>
      <c r="L8" s="9">
        <f t="shared" ref="L8:L10" si="4">2-LOG(I8)</f>
        <v>0.15189980627832322</v>
      </c>
      <c r="M8" s="9">
        <f t="shared" ref="M8:M10" si="5">2-LOG(J8)</f>
        <v>0.18968868254692506</v>
      </c>
      <c r="N8" s="15">
        <v>1.55</v>
      </c>
      <c r="O8" s="20">
        <f>O4/2</f>
        <v>2450000000</v>
      </c>
    </row>
    <row r="9" spans="1:16" x14ac:dyDescent="0.2">
      <c r="A9" t="s">
        <v>15</v>
      </c>
      <c r="B9">
        <v>216.72200000000001</v>
      </c>
      <c r="C9">
        <v>4.3600000000000003</v>
      </c>
      <c r="D9">
        <v>211.84100000000001</v>
      </c>
      <c r="E9">
        <v>5.2089999999999996</v>
      </c>
      <c r="F9">
        <v>195.15299999999999</v>
      </c>
      <c r="G9">
        <v>6.9710000000000001</v>
      </c>
      <c r="H9" s="11">
        <f>(B9/B3)*100</f>
        <v>84.996352626501121</v>
      </c>
      <c r="I9" s="11">
        <f>(D9/D3)*100</f>
        <v>83.087935362409794</v>
      </c>
      <c r="J9" s="15">
        <f>(F9/F3)*100</f>
        <v>78.607363964827613</v>
      </c>
      <c r="K9" s="9">
        <f t="shared" si="3"/>
        <v>7.0599710381832548E-2</v>
      </c>
      <c r="L9" s="9">
        <f t="shared" si="4"/>
        <v>8.0462032604782241E-2</v>
      </c>
      <c r="M9" s="9">
        <f t="shared" si="5"/>
        <v>0.10453676719870963</v>
      </c>
      <c r="N9" s="14">
        <v>1.1499999999999999</v>
      </c>
      <c r="O9" s="20">
        <f>O8/2</f>
        <v>1225000000</v>
      </c>
    </row>
    <row r="10" spans="1:16" x14ac:dyDescent="0.2">
      <c r="A10" s="9" t="s">
        <v>16</v>
      </c>
      <c r="B10" s="9">
        <v>229.96</v>
      </c>
      <c r="C10" s="9">
        <v>3.3580000000000001</v>
      </c>
      <c r="D10" s="9">
        <v>224.91</v>
      </c>
      <c r="E10" s="9">
        <v>4.2149999999999999</v>
      </c>
      <c r="F10" s="9">
        <v>208.47300000000001</v>
      </c>
      <c r="G10" s="9">
        <v>6.0579999999999998</v>
      </c>
      <c r="H10" s="11">
        <f>(B10/B3)*100</f>
        <v>90.188173097286821</v>
      </c>
      <c r="I10" s="11">
        <f>(D10/D3)*100</f>
        <v>88.213837464700333</v>
      </c>
      <c r="J10" s="15">
        <f>(F10/F3)*100</f>
        <v>83.9726419160326</v>
      </c>
      <c r="K10" s="9">
        <f t="shared" si="3"/>
        <v>4.4850410300098176E-2</v>
      </c>
      <c r="L10" s="9">
        <f t="shared" si="4"/>
        <v>5.4463284899901376E-2</v>
      </c>
      <c r="M10" s="9">
        <f t="shared" si="5"/>
        <v>7.5862182987744831E-2</v>
      </c>
      <c r="N10" s="19">
        <v>0.92</v>
      </c>
      <c r="O10" s="20">
        <f>O4/6</f>
        <v>816666666.66666663</v>
      </c>
      <c r="P10" s="9"/>
    </row>
  </sheetData>
  <mergeCells count="3">
    <mergeCell ref="B1:F1"/>
    <mergeCell ref="H1:J1"/>
    <mergeCell ref="K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8CAE1-0AF3-7F4A-81E5-081843434A64}">
  <dimension ref="A1:C24"/>
  <sheetViews>
    <sheetView zoomScale="160" zoomScaleNormal="160" workbookViewId="0">
      <selection activeCell="C21" sqref="C21"/>
    </sheetView>
  </sheetViews>
  <sheetFormatPr baseColWidth="10" defaultRowHeight="16" x14ac:dyDescent="0.2"/>
  <cols>
    <col min="1" max="1" width="21" bestFit="1" customWidth="1"/>
    <col min="2" max="2" width="11.5" bestFit="1" customWidth="1"/>
  </cols>
  <sheetData>
    <row r="1" spans="1:3" x14ac:dyDescent="0.2">
      <c r="A1" t="s">
        <v>18</v>
      </c>
      <c r="B1" t="s">
        <v>17</v>
      </c>
    </row>
    <row r="2" spans="1:3" x14ac:dyDescent="0.2">
      <c r="A2">
        <v>248.26300000000001</v>
      </c>
      <c r="B2" s="22">
        <v>0</v>
      </c>
    </row>
    <row r="3" spans="1:3" x14ac:dyDescent="0.2">
      <c r="A3" s="9">
        <v>116.158</v>
      </c>
      <c r="B3" s="24">
        <v>4900000000</v>
      </c>
    </row>
    <row r="4" spans="1:3" x14ac:dyDescent="0.2">
      <c r="A4">
        <v>225.232</v>
      </c>
      <c r="B4" s="25">
        <v>490000000</v>
      </c>
    </row>
    <row r="5" spans="1:3" x14ac:dyDescent="0.2">
      <c r="A5" s="9">
        <v>243.43700000000001</v>
      </c>
      <c r="B5" s="25">
        <v>49000000</v>
      </c>
    </row>
    <row r="6" spans="1:3" x14ac:dyDescent="0.2">
      <c r="A6">
        <v>245.54599999999999</v>
      </c>
      <c r="B6" s="25">
        <v>4900000</v>
      </c>
    </row>
    <row r="7" spans="1:3" x14ac:dyDescent="0.2">
      <c r="A7" s="9">
        <v>160.40700000000001</v>
      </c>
      <c r="B7" s="24">
        <v>2450000000</v>
      </c>
    </row>
    <row r="8" spans="1:3" x14ac:dyDescent="0.2">
      <c r="A8">
        <v>195.15299999999999</v>
      </c>
      <c r="B8" s="24">
        <v>1230000000</v>
      </c>
    </row>
    <row r="9" spans="1:3" x14ac:dyDescent="0.2">
      <c r="A9" s="9">
        <v>208.47300000000001</v>
      </c>
      <c r="B9" s="24">
        <v>817000000</v>
      </c>
    </row>
    <row r="10" spans="1:3" x14ac:dyDescent="0.2">
      <c r="C10" s="19"/>
    </row>
    <row r="13" spans="1:3" x14ac:dyDescent="0.2">
      <c r="A13" s="26" t="s">
        <v>19</v>
      </c>
      <c r="B13" s="26" t="s">
        <v>17</v>
      </c>
      <c r="C13" s="26" t="s">
        <v>20</v>
      </c>
    </row>
    <row r="14" spans="1:3" x14ac:dyDescent="0.2">
      <c r="A14">
        <v>166.99799999999999</v>
      </c>
      <c r="B14" s="23">
        <f t="shared" ref="B14:B19" si="0">(-40000000*A14)+(9000000000)</f>
        <v>2320080000</v>
      </c>
      <c r="C14">
        <v>1</v>
      </c>
    </row>
    <row r="15" spans="1:3" x14ac:dyDescent="0.2">
      <c r="A15">
        <v>223.61</v>
      </c>
      <c r="B15" s="23">
        <f t="shared" si="0"/>
        <v>55600000</v>
      </c>
      <c r="C15">
        <v>2</v>
      </c>
    </row>
    <row r="16" spans="1:3" x14ac:dyDescent="0.2">
      <c r="A16">
        <v>120.43600000000001</v>
      </c>
      <c r="B16" s="23">
        <f t="shared" si="0"/>
        <v>4182560000</v>
      </c>
      <c r="C16">
        <v>3</v>
      </c>
    </row>
    <row r="17" spans="1:2" x14ac:dyDescent="0.2">
      <c r="A17">
        <v>255</v>
      </c>
      <c r="B17" s="23">
        <f t="shared" si="0"/>
        <v>-1200000000</v>
      </c>
    </row>
    <row r="18" spans="1:2" x14ac:dyDescent="0.2">
      <c r="A18">
        <v>74</v>
      </c>
      <c r="B18" s="23">
        <f t="shared" si="0"/>
        <v>6040000000</v>
      </c>
    </row>
    <row r="19" spans="1:2" x14ac:dyDescent="0.2">
      <c r="B19" s="23"/>
    </row>
    <row r="20" spans="1:2" x14ac:dyDescent="0.2">
      <c r="B20" s="23"/>
    </row>
    <row r="21" spans="1:2" x14ac:dyDescent="0.2">
      <c r="B21" s="23"/>
    </row>
    <row r="22" spans="1:2" x14ac:dyDescent="0.2">
      <c r="B22" s="23"/>
    </row>
    <row r="23" spans="1:2" x14ac:dyDescent="0.2">
      <c r="B23" s="23"/>
    </row>
    <row r="24" spans="1:2" x14ac:dyDescent="0.2">
      <c r="B24" s="2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E517-9058-AC42-8995-2C1416FE705F}">
  <dimension ref="A1:C949"/>
  <sheetViews>
    <sheetView zoomScale="140" zoomScaleNormal="140" workbookViewId="0">
      <selection activeCell="A14" sqref="A14:A949"/>
    </sheetView>
  </sheetViews>
  <sheetFormatPr baseColWidth="10" defaultRowHeight="16" x14ac:dyDescent="0.2"/>
  <cols>
    <col min="1" max="1" width="21" bestFit="1" customWidth="1"/>
  </cols>
  <sheetData>
    <row r="1" spans="1:3" x14ac:dyDescent="0.2">
      <c r="A1" t="s">
        <v>18</v>
      </c>
      <c r="B1" s="1" t="s">
        <v>13</v>
      </c>
    </row>
    <row r="2" spans="1:3" x14ac:dyDescent="0.2">
      <c r="A2">
        <v>248.26300000000001</v>
      </c>
      <c r="B2" s="22">
        <v>0.05</v>
      </c>
    </row>
    <row r="3" spans="1:3" x14ac:dyDescent="0.2">
      <c r="A3" s="9">
        <v>116.158</v>
      </c>
      <c r="B3" s="27">
        <v>1.92</v>
      </c>
    </row>
    <row r="4" spans="1:3" x14ac:dyDescent="0.2">
      <c r="A4">
        <v>225.232</v>
      </c>
      <c r="B4" s="22">
        <v>0.54</v>
      </c>
    </row>
    <row r="5" spans="1:3" x14ac:dyDescent="0.2">
      <c r="A5" s="9">
        <v>243.43700000000001</v>
      </c>
      <c r="B5" s="27">
        <v>0.06</v>
      </c>
    </row>
    <row r="6" spans="1:3" x14ac:dyDescent="0.2">
      <c r="A6">
        <v>245.54599999999999</v>
      </c>
      <c r="B6" s="22">
        <v>0</v>
      </c>
    </row>
    <row r="7" spans="1:3" x14ac:dyDescent="0.2">
      <c r="A7" s="9">
        <v>160.40700000000001</v>
      </c>
      <c r="B7" s="27">
        <v>1.55</v>
      </c>
    </row>
    <row r="8" spans="1:3" x14ac:dyDescent="0.2">
      <c r="A8">
        <v>195.15299999999999</v>
      </c>
      <c r="B8" s="22">
        <v>1.1499999999999999</v>
      </c>
    </row>
    <row r="9" spans="1:3" x14ac:dyDescent="0.2">
      <c r="A9" s="9">
        <v>208.47300000000001</v>
      </c>
      <c r="B9" s="28">
        <v>0.92</v>
      </c>
    </row>
    <row r="12" spans="1:3" x14ac:dyDescent="0.2">
      <c r="A12" t="s">
        <v>23</v>
      </c>
      <c r="B12" t="s">
        <v>21</v>
      </c>
      <c r="C12" t="s">
        <v>22</v>
      </c>
    </row>
    <row r="14" spans="1:3" x14ac:dyDescent="0.2">
      <c r="A14">
        <v>0</v>
      </c>
      <c r="B14">
        <v>129.721</v>
      </c>
      <c r="C14">
        <f>(-0.00009*(B14^2))+0.0175*B14+1.0569</f>
        <v>1.8125390943100002</v>
      </c>
    </row>
    <row r="15" spans="1:3" x14ac:dyDescent="0.2">
      <c r="A15">
        <v>8.6199999999999992E-3</v>
      </c>
      <c r="B15">
        <v>129.97200000000001</v>
      </c>
      <c r="C15">
        <f t="shared" ref="C15:C78" si="0">(-0.00009*(B15^2))+0.0175*B15+1.0569</f>
        <v>1.81106512944</v>
      </c>
    </row>
    <row r="16" spans="1:3" x14ac:dyDescent="0.2">
      <c r="A16">
        <v>1.7239999999999998E-2</v>
      </c>
      <c r="B16">
        <v>129.97999999999999</v>
      </c>
      <c r="C16">
        <f t="shared" si="0"/>
        <v>1.8110179639999999</v>
      </c>
    </row>
    <row r="17" spans="1:3" x14ac:dyDescent="0.2">
      <c r="A17">
        <v>2.5860000000000001E-2</v>
      </c>
      <c r="B17">
        <v>129.982</v>
      </c>
      <c r="C17">
        <f t="shared" si="0"/>
        <v>1.81100617084</v>
      </c>
    </row>
    <row r="18" spans="1:3" x14ac:dyDescent="0.2">
      <c r="A18">
        <v>3.4479999999999997E-2</v>
      </c>
      <c r="B18">
        <v>130.07900000000001</v>
      </c>
      <c r="C18">
        <f t="shared" si="0"/>
        <v>1.81043333831</v>
      </c>
    </row>
    <row r="19" spans="1:3" x14ac:dyDescent="0.2">
      <c r="A19">
        <v>4.3099999999999999E-2</v>
      </c>
      <c r="B19">
        <v>130.077</v>
      </c>
      <c r="C19">
        <f t="shared" si="0"/>
        <v>1.8104451663899999</v>
      </c>
    </row>
    <row r="20" spans="1:3" x14ac:dyDescent="0.2">
      <c r="A20">
        <v>5.1720000000000002E-2</v>
      </c>
      <c r="B20">
        <v>129.98099999999999</v>
      </c>
      <c r="C20">
        <f t="shared" si="0"/>
        <v>1.8110120675099999</v>
      </c>
    </row>
    <row r="21" spans="1:3" x14ac:dyDescent="0.2">
      <c r="A21">
        <v>6.0339999999999998E-2</v>
      </c>
      <c r="B21">
        <v>129.86500000000001</v>
      </c>
      <c r="C21">
        <f t="shared" si="0"/>
        <v>1.8116948597500002</v>
      </c>
    </row>
    <row r="22" spans="1:3" x14ac:dyDescent="0.2">
      <c r="A22">
        <v>6.8970000000000004E-2</v>
      </c>
      <c r="B22">
        <v>129.99799999999999</v>
      </c>
      <c r="C22">
        <f t="shared" si="0"/>
        <v>1.8109117996399999</v>
      </c>
    </row>
    <row r="23" spans="1:3" x14ac:dyDescent="0.2">
      <c r="A23">
        <v>7.7590000000000006E-2</v>
      </c>
      <c r="B23">
        <v>129.96100000000001</v>
      </c>
      <c r="C23">
        <f t="shared" si="0"/>
        <v>1.81112996311</v>
      </c>
    </row>
    <row r="24" spans="1:3" x14ac:dyDescent="0.2">
      <c r="A24">
        <v>8.6209999999999995E-2</v>
      </c>
      <c r="B24">
        <v>129.89400000000001</v>
      </c>
      <c r="C24">
        <f t="shared" si="0"/>
        <v>1.8115243887600001</v>
      </c>
    </row>
    <row r="25" spans="1:3" x14ac:dyDescent="0.2">
      <c r="A25">
        <v>9.4829999999999998E-2</v>
      </c>
      <c r="B25">
        <v>129.977</v>
      </c>
      <c r="C25">
        <f t="shared" si="0"/>
        <v>1.8110356523900002</v>
      </c>
    </row>
    <row r="26" spans="1:3" x14ac:dyDescent="0.2">
      <c r="A26">
        <v>0.10345</v>
      </c>
      <c r="B26">
        <v>129.93299999999999</v>
      </c>
      <c r="C26">
        <f t="shared" si="0"/>
        <v>1.8112948959899999</v>
      </c>
    </row>
    <row r="27" spans="1:3" x14ac:dyDescent="0.2">
      <c r="A27">
        <v>0.11207</v>
      </c>
      <c r="B27">
        <v>129.72</v>
      </c>
      <c r="C27">
        <f t="shared" si="0"/>
        <v>1.8125449440000001</v>
      </c>
    </row>
    <row r="28" spans="1:3" x14ac:dyDescent="0.2">
      <c r="A28">
        <v>0.12069000000000001</v>
      </c>
      <c r="B28">
        <v>129.702</v>
      </c>
      <c r="C28">
        <f t="shared" si="0"/>
        <v>1.81265020764</v>
      </c>
    </row>
    <row r="29" spans="1:3" x14ac:dyDescent="0.2">
      <c r="A29">
        <v>0.12931000000000001</v>
      </c>
      <c r="B29">
        <v>129.78299999999999</v>
      </c>
      <c r="C29">
        <f t="shared" si="0"/>
        <v>1.8121760619899998</v>
      </c>
    </row>
    <row r="30" spans="1:3" x14ac:dyDescent="0.2">
      <c r="A30">
        <v>0.13793</v>
      </c>
      <c r="B30">
        <v>129.93799999999999</v>
      </c>
      <c r="C30">
        <f t="shared" si="0"/>
        <v>1.8112654540400004</v>
      </c>
    </row>
    <row r="31" spans="1:3" x14ac:dyDescent="0.2">
      <c r="A31">
        <v>0.14655000000000001</v>
      </c>
      <c r="B31">
        <v>129.84200000000001</v>
      </c>
      <c r="C31">
        <f t="shared" si="0"/>
        <v>1.81182995324</v>
      </c>
    </row>
    <row r="32" spans="1:3" x14ac:dyDescent="0.2">
      <c r="A32">
        <v>0.15517</v>
      </c>
      <c r="B32">
        <v>129.79499999999999</v>
      </c>
      <c r="C32">
        <f t="shared" si="0"/>
        <v>1.81210571775</v>
      </c>
    </row>
    <row r="33" spans="1:3" x14ac:dyDescent="0.2">
      <c r="A33">
        <v>0.16378999999999999</v>
      </c>
      <c r="B33">
        <v>129.71199999999999</v>
      </c>
      <c r="C33">
        <f t="shared" si="0"/>
        <v>1.8125917350400003</v>
      </c>
    </row>
    <row r="34" spans="1:3" x14ac:dyDescent="0.2">
      <c r="A34">
        <v>0.17241000000000001</v>
      </c>
      <c r="B34">
        <v>129.709</v>
      </c>
      <c r="C34">
        <f t="shared" si="0"/>
        <v>1.8126092787100003</v>
      </c>
    </row>
    <row r="35" spans="1:3" x14ac:dyDescent="0.2">
      <c r="A35">
        <v>0.18103</v>
      </c>
      <c r="B35">
        <v>129.69900000000001</v>
      </c>
      <c r="C35">
        <f t="shared" si="0"/>
        <v>1.81266774591</v>
      </c>
    </row>
    <row r="36" spans="1:3" x14ac:dyDescent="0.2">
      <c r="A36">
        <v>0.18966</v>
      </c>
      <c r="B36">
        <v>129.94499999999999</v>
      </c>
      <c r="C36">
        <f t="shared" si="0"/>
        <v>1.8112242277499999</v>
      </c>
    </row>
    <row r="37" spans="1:3" x14ac:dyDescent="0.2">
      <c r="A37">
        <v>0.19828000000000001</v>
      </c>
      <c r="B37">
        <v>129.80199999999999</v>
      </c>
      <c r="C37">
        <f t="shared" si="0"/>
        <v>1.8120646716400002</v>
      </c>
    </row>
    <row r="38" spans="1:3" x14ac:dyDescent="0.2">
      <c r="A38">
        <v>0.2069</v>
      </c>
      <c r="B38">
        <v>129.62700000000001</v>
      </c>
      <c r="C38">
        <f t="shared" si="0"/>
        <v>1.8130881783900001</v>
      </c>
    </row>
    <row r="39" spans="1:3" x14ac:dyDescent="0.2">
      <c r="A39">
        <v>0.21551999999999999</v>
      </c>
      <c r="B39">
        <v>129.19800000000001</v>
      </c>
      <c r="C39">
        <f t="shared" si="0"/>
        <v>1.81557391164</v>
      </c>
    </row>
    <row r="40" spans="1:3" x14ac:dyDescent="0.2">
      <c r="A40">
        <v>0.22414000000000001</v>
      </c>
      <c r="B40">
        <v>129.25700000000001</v>
      </c>
      <c r="C40">
        <f t="shared" si="0"/>
        <v>1.8152340155899997</v>
      </c>
    </row>
    <row r="41" spans="1:3" x14ac:dyDescent="0.2">
      <c r="A41">
        <v>0.23275999999999999</v>
      </c>
      <c r="B41">
        <v>129.256</v>
      </c>
      <c r="C41">
        <f t="shared" si="0"/>
        <v>1.8152397817600001</v>
      </c>
    </row>
    <row r="42" spans="1:3" x14ac:dyDescent="0.2">
      <c r="A42">
        <v>0.24138000000000001</v>
      </c>
      <c r="B42">
        <v>129.05799999999999</v>
      </c>
      <c r="C42">
        <f t="shared" si="0"/>
        <v>1.8163779372400002</v>
      </c>
    </row>
    <row r="43" spans="1:3" x14ac:dyDescent="0.2">
      <c r="A43">
        <v>0.25</v>
      </c>
      <c r="B43">
        <v>128.90199999999999</v>
      </c>
      <c r="C43">
        <f t="shared" si="0"/>
        <v>1.8172696956400001</v>
      </c>
    </row>
    <row r="44" spans="1:3" x14ac:dyDescent="0.2">
      <c r="A44">
        <v>0.25862000000000002</v>
      </c>
      <c r="B44">
        <v>129.06</v>
      </c>
      <c r="C44">
        <f t="shared" si="0"/>
        <v>1.816366476</v>
      </c>
    </row>
    <row r="45" spans="1:3" x14ac:dyDescent="0.2">
      <c r="A45">
        <v>0.26723999999999998</v>
      </c>
      <c r="B45">
        <v>129.00200000000001</v>
      </c>
      <c r="C45">
        <f t="shared" si="0"/>
        <v>1.81669855964</v>
      </c>
    </row>
    <row r="46" spans="1:3" x14ac:dyDescent="0.2">
      <c r="A46">
        <v>0.27585999999999999</v>
      </c>
      <c r="B46">
        <v>129.03200000000001</v>
      </c>
      <c r="C46">
        <f t="shared" si="0"/>
        <v>1.8165268678399999</v>
      </c>
    </row>
    <row r="47" spans="1:3" x14ac:dyDescent="0.2">
      <c r="A47">
        <v>0.28448000000000001</v>
      </c>
      <c r="B47">
        <v>128.995</v>
      </c>
      <c r="C47">
        <f t="shared" si="0"/>
        <v>1.8167385977500004</v>
      </c>
    </row>
    <row r="48" spans="1:3" x14ac:dyDescent="0.2">
      <c r="A48">
        <v>0.29310000000000003</v>
      </c>
      <c r="B48">
        <v>128.86199999999999</v>
      </c>
      <c r="C48">
        <f t="shared" si="0"/>
        <v>1.8174976460400003</v>
      </c>
    </row>
    <row r="49" spans="1:3" x14ac:dyDescent="0.2">
      <c r="A49">
        <v>0.30171999999999999</v>
      </c>
      <c r="B49">
        <v>129.048</v>
      </c>
      <c r="C49">
        <f t="shared" si="0"/>
        <v>1.8164352326400004</v>
      </c>
    </row>
    <row r="50" spans="1:3" x14ac:dyDescent="0.2">
      <c r="A50">
        <v>0.31034</v>
      </c>
      <c r="B50">
        <v>129.35300000000001</v>
      </c>
      <c r="C50">
        <f t="shared" si="0"/>
        <v>1.8146796251900001</v>
      </c>
    </row>
    <row r="51" spans="1:3" x14ac:dyDescent="0.2">
      <c r="A51">
        <v>0.31896999999999998</v>
      </c>
      <c r="B51">
        <v>129.124</v>
      </c>
      <c r="C51">
        <f t="shared" si="0"/>
        <v>1.8159993361600004</v>
      </c>
    </row>
    <row r="52" spans="1:3" x14ac:dyDescent="0.2">
      <c r="A52">
        <v>0.32758999999999999</v>
      </c>
      <c r="B52">
        <v>129.18299999999999</v>
      </c>
      <c r="C52">
        <f t="shared" si="0"/>
        <v>1.8156602259900003</v>
      </c>
    </row>
    <row r="53" spans="1:3" x14ac:dyDescent="0.2">
      <c r="A53">
        <v>0.33621000000000001</v>
      </c>
      <c r="B53">
        <v>129.22399999999999</v>
      </c>
      <c r="C53">
        <f t="shared" si="0"/>
        <v>1.8154242041600002</v>
      </c>
    </row>
    <row r="54" spans="1:3" x14ac:dyDescent="0.2">
      <c r="A54">
        <v>0.34483000000000003</v>
      </c>
      <c r="B54">
        <v>129.042</v>
      </c>
      <c r="C54">
        <f t="shared" si="0"/>
        <v>1.8164696012400003</v>
      </c>
    </row>
    <row r="55" spans="1:3" x14ac:dyDescent="0.2">
      <c r="A55">
        <v>0.35344999999999999</v>
      </c>
      <c r="B55">
        <v>129.113</v>
      </c>
      <c r="C55">
        <f t="shared" si="0"/>
        <v>1.81606249079</v>
      </c>
    </row>
    <row r="56" spans="1:3" x14ac:dyDescent="0.2">
      <c r="A56">
        <v>0.36207</v>
      </c>
      <c r="B56">
        <v>128.91399999999999</v>
      </c>
      <c r="C56">
        <f t="shared" si="0"/>
        <v>1.8172012543600002</v>
      </c>
    </row>
    <row r="57" spans="1:3" x14ac:dyDescent="0.2">
      <c r="A57">
        <v>0.37069000000000002</v>
      </c>
      <c r="B57">
        <v>128.87299999999999</v>
      </c>
      <c r="C57">
        <f t="shared" si="0"/>
        <v>1.8174349883900003</v>
      </c>
    </row>
    <row r="58" spans="1:3" x14ac:dyDescent="0.2">
      <c r="A58">
        <v>0.37930999999999998</v>
      </c>
      <c r="B58">
        <v>128.67099999999999</v>
      </c>
      <c r="C58">
        <f t="shared" si="0"/>
        <v>1.8185821383100003</v>
      </c>
    </row>
    <row r="59" spans="1:3" x14ac:dyDescent="0.2">
      <c r="A59">
        <v>0.38793</v>
      </c>
      <c r="B59">
        <v>128.785</v>
      </c>
      <c r="C59">
        <f t="shared" si="0"/>
        <v>1.8179356397499999</v>
      </c>
    </row>
    <row r="60" spans="1:3" x14ac:dyDescent="0.2">
      <c r="A60">
        <v>0.39655000000000001</v>
      </c>
      <c r="B60">
        <v>128.59100000000001</v>
      </c>
      <c r="C60">
        <f t="shared" si="0"/>
        <v>1.8190344247100001</v>
      </c>
    </row>
    <row r="61" spans="1:3" x14ac:dyDescent="0.2">
      <c r="A61">
        <v>0.40516999999999997</v>
      </c>
      <c r="B61">
        <v>128.44200000000001</v>
      </c>
      <c r="C61">
        <f t="shared" si="0"/>
        <v>1.8198737372400002</v>
      </c>
    </row>
    <row r="62" spans="1:3" x14ac:dyDescent="0.2">
      <c r="A62">
        <v>0.41378999999999999</v>
      </c>
      <c r="B62">
        <v>128.43</v>
      </c>
      <c r="C62">
        <f t="shared" si="0"/>
        <v>1.8199411590000001</v>
      </c>
    </row>
    <row r="63" spans="1:3" x14ac:dyDescent="0.2">
      <c r="A63">
        <v>0.42241000000000001</v>
      </c>
      <c r="B63">
        <v>128.40100000000001</v>
      </c>
      <c r="C63">
        <f t="shared" si="0"/>
        <v>1.8201039879100001</v>
      </c>
    </row>
    <row r="64" spans="1:3" x14ac:dyDescent="0.2">
      <c r="A64">
        <v>0.43103000000000002</v>
      </c>
      <c r="B64">
        <v>128.48699999999999</v>
      </c>
      <c r="C64">
        <f t="shared" si="0"/>
        <v>1.8196206747899999</v>
      </c>
    </row>
    <row r="65" spans="1:3" x14ac:dyDescent="0.2">
      <c r="A65">
        <v>0.43966</v>
      </c>
      <c r="B65">
        <v>128.721</v>
      </c>
      <c r="C65">
        <f t="shared" si="0"/>
        <v>1.8182988743100001</v>
      </c>
    </row>
    <row r="66" spans="1:3" x14ac:dyDescent="0.2">
      <c r="A66">
        <v>0.44828000000000001</v>
      </c>
      <c r="B66">
        <v>128.488</v>
      </c>
      <c r="C66">
        <f t="shared" si="0"/>
        <v>1.8196150470400001</v>
      </c>
    </row>
    <row r="67" spans="1:3" x14ac:dyDescent="0.2">
      <c r="A67">
        <v>0.45689999999999997</v>
      </c>
      <c r="B67">
        <v>128.554</v>
      </c>
      <c r="C67">
        <f t="shared" si="0"/>
        <v>1.8192432175600002</v>
      </c>
    </row>
    <row r="68" spans="1:3" x14ac:dyDescent="0.2">
      <c r="A68">
        <v>0.46551999999999999</v>
      </c>
      <c r="B68">
        <v>128.304</v>
      </c>
      <c r="C68">
        <f t="shared" si="0"/>
        <v>1.8206475225600003</v>
      </c>
    </row>
    <row r="69" spans="1:3" x14ac:dyDescent="0.2">
      <c r="A69">
        <v>0.47414000000000001</v>
      </c>
      <c r="B69">
        <v>127.986</v>
      </c>
      <c r="C69">
        <f t="shared" si="0"/>
        <v>1.8224175423599998</v>
      </c>
    </row>
    <row r="70" spans="1:3" x14ac:dyDescent="0.2">
      <c r="A70">
        <v>0.48276000000000002</v>
      </c>
      <c r="B70">
        <v>127.923</v>
      </c>
      <c r="C70">
        <f t="shared" si="0"/>
        <v>1.8227660463899999</v>
      </c>
    </row>
    <row r="71" spans="1:3" x14ac:dyDescent="0.2">
      <c r="A71">
        <v>0.49137999999999998</v>
      </c>
      <c r="B71">
        <v>127.771</v>
      </c>
      <c r="C71">
        <f t="shared" si="0"/>
        <v>1.8236039403099999</v>
      </c>
    </row>
    <row r="72" spans="1:3" x14ac:dyDescent="0.2">
      <c r="A72">
        <v>0.5</v>
      </c>
      <c r="B72">
        <v>127.81699999999999</v>
      </c>
      <c r="C72">
        <f t="shared" si="0"/>
        <v>1.8233508059900003</v>
      </c>
    </row>
    <row r="73" spans="1:3" x14ac:dyDescent="0.2">
      <c r="A73">
        <v>0.50861999999999996</v>
      </c>
      <c r="B73">
        <v>127.95099999999999</v>
      </c>
      <c r="C73">
        <f t="shared" si="0"/>
        <v>1.8226112439100004</v>
      </c>
    </row>
    <row r="74" spans="1:3" x14ac:dyDescent="0.2">
      <c r="A74">
        <v>0.51724000000000003</v>
      </c>
      <c r="B74">
        <v>127.703</v>
      </c>
      <c r="C74">
        <f t="shared" si="0"/>
        <v>1.82397744119</v>
      </c>
    </row>
    <row r="75" spans="1:3" x14ac:dyDescent="0.2">
      <c r="A75">
        <v>0.52585999999999999</v>
      </c>
      <c r="B75">
        <v>127.79600000000001</v>
      </c>
      <c r="C75">
        <f t="shared" si="0"/>
        <v>1.8234664145600001</v>
      </c>
    </row>
    <row r="76" spans="1:3" x14ac:dyDescent="0.2">
      <c r="A76">
        <v>0.53447999999999996</v>
      </c>
      <c r="B76">
        <v>127.631</v>
      </c>
      <c r="C76">
        <f t="shared" si="0"/>
        <v>1.8243720055100003</v>
      </c>
    </row>
    <row r="77" spans="1:3" x14ac:dyDescent="0.2">
      <c r="A77">
        <v>0.54310000000000003</v>
      </c>
      <c r="B77">
        <v>127.94499999999999</v>
      </c>
      <c r="C77">
        <f t="shared" si="0"/>
        <v>1.8226444277500002</v>
      </c>
    </row>
    <row r="78" spans="1:3" x14ac:dyDescent="0.2">
      <c r="A78">
        <v>0.55171999999999999</v>
      </c>
      <c r="B78">
        <v>127.849</v>
      </c>
      <c r="C78">
        <f t="shared" si="0"/>
        <v>1.8231744879100003</v>
      </c>
    </row>
    <row r="79" spans="1:3" x14ac:dyDescent="0.2">
      <c r="A79">
        <v>0.56033999999999995</v>
      </c>
      <c r="B79">
        <v>127.795</v>
      </c>
      <c r="C79">
        <f t="shared" ref="C79:C142" si="1">(-0.00009*(B79^2))+0.0175*B79+1.0569</f>
        <v>1.8234719177499998</v>
      </c>
    </row>
    <row r="80" spans="1:3" x14ac:dyDescent="0.2">
      <c r="A80">
        <v>0.56896999999999998</v>
      </c>
      <c r="B80">
        <v>127.587</v>
      </c>
      <c r="C80">
        <f t="shared" si="1"/>
        <v>1.8246126687900002</v>
      </c>
    </row>
    <row r="81" spans="1:3" x14ac:dyDescent="0.2">
      <c r="A81">
        <v>0.57759000000000005</v>
      </c>
      <c r="B81">
        <v>127.339</v>
      </c>
      <c r="C81">
        <f t="shared" si="1"/>
        <v>1.8259626171100001</v>
      </c>
    </row>
    <row r="82" spans="1:3" x14ac:dyDescent="0.2">
      <c r="A82">
        <v>0.58621000000000001</v>
      </c>
      <c r="B82">
        <v>127.419</v>
      </c>
      <c r="C82">
        <f t="shared" si="1"/>
        <v>1.82552835951</v>
      </c>
    </row>
    <row r="83" spans="1:3" x14ac:dyDescent="0.2">
      <c r="A83">
        <v>0.59482999999999997</v>
      </c>
      <c r="B83">
        <v>127.39400000000001</v>
      </c>
      <c r="C83">
        <f t="shared" si="1"/>
        <v>1.82566418876</v>
      </c>
    </row>
    <row r="84" spans="1:3" x14ac:dyDescent="0.2">
      <c r="A84">
        <v>0.60345000000000004</v>
      </c>
      <c r="B84">
        <v>127.655</v>
      </c>
      <c r="C84">
        <f t="shared" si="1"/>
        <v>1.8242405877499999</v>
      </c>
    </row>
    <row r="85" spans="1:3" x14ac:dyDescent="0.2">
      <c r="A85">
        <v>0.61207</v>
      </c>
      <c r="B85">
        <v>127.208</v>
      </c>
      <c r="C85">
        <f t="shared" si="1"/>
        <v>1.8266712262399998</v>
      </c>
    </row>
    <row r="86" spans="1:3" x14ac:dyDescent="0.2">
      <c r="A86">
        <v>0.62068999999999996</v>
      </c>
      <c r="B86">
        <v>127.348</v>
      </c>
      <c r="C86">
        <f t="shared" si="1"/>
        <v>1.8259138206399999</v>
      </c>
    </row>
    <row r="87" spans="1:3" x14ac:dyDescent="0.2">
      <c r="A87">
        <v>0.62931000000000004</v>
      </c>
      <c r="B87">
        <v>127.527</v>
      </c>
      <c r="C87">
        <f t="shared" si="1"/>
        <v>1.82494028439</v>
      </c>
    </row>
    <row r="88" spans="1:3" x14ac:dyDescent="0.2">
      <c r="A88">
        <v>0.63793</v>
      </c>
      <c r="B88">
        <v>127.73699999999999</v>
      </c>
      <c r="C88">
        <f t="shared" si="1"/>
        <v>1.8237907947899998</v>
      </c>
    </row>
    <row r="89" spans="1:3" x14ac:dyDescent="0.2">
      <c r="A89">
        <v>0.64654999999999996</v>
      </c>
      <c r="B89">
        <v>127.867</v>
      </c>
      <c r="C89">
        <f t="shared" si="1"/>
        <v>1.8230752279900002</v>
      </c>
    </row>
    <row r="90" spans="1:3" x14ac:dyDescent="0.2">
      <c r="A90">
        <v>0.65517000000000003</v>
      </c>
      <c r="B90">
        <v>127.324</v>
      </c>
      <c r="C90">
        <f t="shared" si="1"/>
        <v>1.8260439121599998</v>
      </c>
    </row>
    <row r="91" spans="1:3" x14ac:dyDescent="0.2">
      <c r="A91">
        <v>0.66378999999999999</v>
      </c>
      <c r="B91">
        <v>127.327</v>
      </c>
      <c r="C91">
        <f t="shared" si="1"/>
        <v>1.8260276563900002</v>
      </c>
    </row>
    <row r="92" spans="1:3" x14ac:dyDescent="0.2">
      <c r="A92">
        <v>0.67240999999999995</v>
      </c>
      <c r="B92">
        <v>127.151</v>
      </c>
      <c r="C92">
        <f t="shared" si="1"/>
        <v>1.82697858791</v>
      </c>
    </row>
    <row r="93" spans="1:3" x14ac:dyDescent="0.2">
      <c r="A93">
        <v>0.68103000000000002</v>
      </c>
      <c r="B93">
        <v>127.197</v>
      </c>
      <c r="C93">
        <f t="shared" si="1"/>
        <v>1.8267305871900001</v>
      </c>
    </row>
    <row r="94" spans="1:3" x14ac:dyDescent="0.2">
      <c r="A94">
        <v>0.68966000000000005</v>
      </c>
      <c r="B94">
        <v>127.30200000000001</v>
      </c>
      <c r="C94">
        <f t="shared" si="1"/>
        <v>1.8261630716400001</v>
      </c>
    </row>
    <row r="95" spans="1:3" x14ac:dyDescent="0.2">
      <c r="A95">
        <v>0.69828000000000001</v>
      </c>
      <c r="B95">
        <v>127.73699999999999</v>
      </c>
      <c r="C95">
        <f t="shared" si="1"/>
        <v>1.8237907947899998</v>
      </c>
    </row>
    <row r="96" spans="1:3" x14ac:dyDescent="0.2">
      <c r="A96">
        <v>0.70689999999999997</v>
      </c>
      <c r="B96">
        <v>127.358</v>
      </c>
      <c r="C96">
        <f t="shared" si="1"/>
        <v>1.8258595852399999</v>
      </c>
    </row>
    <row r="97" spans="1:3" x14ac:dyDescent="0.2">
      <c r="A97">
        <v>0.71552000000000004</v>
      </c>
      <c r="B97">
        <v>127.099</v>
      </c>
      <c r="C97">
        <f t="shared" si="1"/>
        <v>1.8272584779100001</v>
      </c>
    </row>
    <row r="98" spans="1:3" x14ac:dyDescent="0.2">
      <c r="A98">
        <v>0.72414000000000001</v>
      </c>
      <c r="B98">
        <v>127.10899999999999</v>
      </c>
      <c r="C98">
        <f t="shared" si="1"/>
        <v>1.8272046907100004</v>
      </c>
    </row>
    <row r="99" spans="1:3" x14ac:dyDescent="0.2">
      <c r="A99">
        <v>0.73275999999999997</v>
      </c>
      <c r="B99">
        <v>127.374</v>
      </c>
      <c r="C99">
        <f t="shared" si="1"/>
        <v>1.8257727711600003</v>
      </c>
    </row>
    <row r="100" spans="1:3" x14ac:dyDescent="0.2">
      <c r="A100">
        <v>0.74138000000000004</v>
      </c>
      <c r="B100">
        <v>127.08499999999999</v>
      </c>
      <c r="C100">
        <f t="shared" si="1"/>
        <v>1.8273337497500004</v>
      </c>
    </row>
    <row r="101" spans="1:3" x14ac:dyDescent="0.2">
      <c r="A101">
        <v>0.75</v>
      </c>
      <c r="B101">
        <v>127.039</v>
      </c>
      <c r="C101">
        <f t="shared" si="1"/>
        <v>1.8275808231099999</v>
      </c>
    </row>
    <row r="102" spans="1:3" x14ac:dyDescent="0.2">
      <c r="A102">
        <v>0.75861999999999996</v>
      </c>
      <c r="B102">
        <v>127.07</v>
      </c>
      <c r="C102">
        <f t="shared" si="1"/>
        <v>1.8274143589999998</v>
      </c>
    </row>
    <row r="103" spans="1:3" x14ac:dyDescent="0.2">
      <c r="A103">
        <v>0.76724000000000003</v>
      </c>
      <c r="B103">
        <v>127</v>
      </c>
      <c r="C103">
        <f t="shared" si="1"/>
        <v>1.82779</v>
      </c>
    </row>
    <row r="104" spans="1:3" x14ac:dyDescent="0.2">
      <c r="A104">
        <v>0.77585999999999999</v>
      </c>
      <c r="B104">
        <v>127</v>
      </c>
      <c r="C104">
        <f t="shared" si="1"/>
        <v>1.82779</v>
      </c>
    </row>
    <row r="105" spans="1:3" x14ac:dyDescent="0.2">
      <c r="A105">
        <v>0.78447999999999996</v>
      </c>
      <c r="B105">
        <v>127</v>
      </c>
      <c r="C105">
        <f t="shared" si="1"/>
        <v>1.82779</v>
      </c>
    </row>
    <row r="106" spans="1:3" x14ac:dyDescent="0.2">
      <c r="A106">
        <v>0.79310000000000003</v>
      </c>
      <c r="B106">
        <v>126.874</v>
      </c>
      <c r="C106">
        <f t="shared" si="1"/>
        <v>1.8284639311600002</v>
      </c>
    </row>
    <row r="107" spans="1:3" x14ac:dyDescent="0.2">
      <c r="A107">
        <v>0.80171999999999999</v>
      </c>
      <c r="B107">
        <v>126.97499999999999</v>
      </c>
      <c r="C107">
        <f t="shared" si="1"/>
        <v>1.8279239437500003</v>
      </c>
    </row>
    <row r="108" spans="1:3" x14ac:dyDescent="0.2">
      <c r="A108">
        <v>0.81033999999999995</v>
      </c>
      <c r="B108">
        <v>126.85299999999999</v>
      </c>
      <c r="C108">
        <f t="shared" si="1"/>
        <v>1.8285759751900004</v>
      </c>
    </row>
    <row r="109" spans="1:3" x14ac:dyDescent="0.2">
      <c r="A109">
        <v>0.81896999999999998</v>
      </c>
      <c r="B109">
        <v>126.613</v>
      </c>
      <c r="C109">
        <f t="shared" si="1"/>
        <v>1.82985084079</v>
      </c>
    </row>
    <row r="110" spans="1:3" x14ac:dyDescent="0.2">
      <c r="A110">
        <v>0.82759000000000005</v>
      </c>
      <c r="B110">
        <v>126.848</v>
      </c>
      <c r="C110">
        <f t="shared" si="1"/>
        <v>1.82860264064</v>
      </c>
    </row>
    <row r="111" spans="1:3" x14ac:dyDescent="0.2">
      <c r="A111">
        <v>0.83621000000000001</v>
      </c>
      <c r="B111">
        <v>126.538</v>
      </c>
      <c r="C111">
        <f t="shared" si="1"/>
        <v>1.8302471100400002</v>
      </c>
    </row>
    <row r="112" spans="1:3" x14ac:dyDescent="0.2">
      <c r="A112">
        <v>0.84482999999999997</v>
      </c>
      <c r="B112">
        <v>126.232</v>
      </c>
      <c r="C112">
        <f t="shared" si="1"/>
        <v>1.8318533958399998</v>
      </c>
    </row>
    <row r="113" spans="1:3" x14ac:dyDescent="0.2">
      <c r="A113">
        <v>0.85345000000000004</v>
      </c>
      <c r="B113">
        <v>126.244</v>
      </c>
      <c r="C113">
        <f t="shared" si="1"/>
        <v>1.83179072176</v>
      </c>
    </row>
    <row r="114" spans="1:3" x14ac:dyDescent="0.2">
      <c r="A114">
        <v>0.86207</v>
      </c>
      <c r="B114">
        <v>126.318</v>
      </c>
      <c r="C114">
        <f t="shared" si="1"/>
        <v>1.8314036588400002</v>
      </c>
    </row>
    <row r="115" spans="1:3" x14ac:dyDescent="0.2">
      <c r="A115">
        <v>0.87068999999999996</v>
      </c>
      <c r="B115">
        <v>126.004</v>
      </c>
      <c r="C115">
        <f t="shared" si="1"/>
        <v>1.8330392785599998</v>
      </c>
    </row>
    <row r="116" spans="1:3" x14ac:dyDescent="0.2">
      <c r="A116">
        <v>0.87931000000000004</v>
      </c>
      <c r="B116">
        <v>126.145</v>
      </c>
      <c r="C116">
        <f t="shared" si="1"/>
        <v>1.8323070077499999</v>
      </c>
    </row>
    <row r="117" spans="1:3" x14ac:dyDescent="0.2">
      <c r="A117">
        <v>0.88793</v>
      </c>
      <c r="B117">
        <v>126.10599999999999</v>
      </c>
      <c r="C117">
        <f t="shared" si="1"/>
        <v>1.8325099087600001</v>
      </c>
    </row>
    <row r="118" spans="1:3" x14ac:dyDescent="0.2">
      <c r="A118">
        <v>0.89654999999999996</v>
      </c>
      <c r="B118">
        <v>126.119</v>
      </c>
      <c r="C118">
        <f t="shared" si="1"/>
        <v>1.8324423055100001</v>
      </c>
    </row>
    <row r="119" spans="1:3" x14ac:dyDescent="0.2">
      <c r="A119">
        <v>0.90517000000000003</v>
      </c>
      <c r="B119">
        <v>126.04600000000001</v>
      </c>
      <c r="C119">
        <f t="shared" si="1"/>
        <v>1.8328215295599999</v>
      </c>
    </row>
    <row r="120" spans="1:3" x14ac:dyDescent="0.2">
      <c r="A120">
        <v>0.91378999999999999</v>
      </c>
      <c r="B120">
        <v>126.038</v>
      </c>
      <c r="C120">
        <f t="shared" si="1"/>
        <v>1.8328630300400002</v>
      </c>
    </row>
    <row r="121" spans="1:3" x14ac:dyDescent="0.2">
      <c r="A121">
        <v>0.92240999999999995</v>
      </c>
      <c r="B121">
        <v>125.88</v>
      </c>
      <c r="C121">
        <f t="shared" si="1"/>
        <v>1.833680304</v>
      </c>
    </row>
    <row r="122" spans="1:3" x14ac:dyDescent="0.2">
      <c r="A122">
        <v>0.93103000000000002</v>
      </c>
      <c r="B122">
        <v>125.98</v>
      </c>
      <c r="C122">
        <f t="shared" si="1"/>
        <v>1.8331635640000001</v>
      </c>
    </row>
    <row r="123" spans="1:3" x14ac:dyDescent="0.2">
      <c r="A123">
        <v>0.93966000000000005</v>
      </c>
      <c r="B123">
        <v>125.999</v>
      </c>
      <c r="C123">
        <f t="shared" si="1"/>
        <v>1.8330651799100004</v>
      </c>
    </row>
    <row r="124" spans="1:3" x14ac:dyDescent="0.2">
      <c r="A124">
        <v>0.94828000000000001</v>
      </c>
      <c r="B124">
        <v>125.94199999999999</v>
      </c>
      <c r="C124">
        <f t="shared" si="1"/>
        <v>1.8333601372400004</v>
      </c>
    </row>
    <row r="125" spans="1:3" x14ac:dyDescent="0.2">
      <c r="A125">
        <v>0.95689999999999997</v>
      </c>
      <c r="B125">
        <v>125.81699999999999</v>
      </c>
      <c r="C125">
        <f t="shared" si="1"/>
        <v>1.8340049259900002</v>
      </c>
    </row>
    <row r="126" spans="1:3" x14ac:dyDescent="0.2">
      <c r="A126">
        <v>0.96552000000000004</v>
      </c>
      <c r="B126">
        <v>125.874</v>
      </c>
      <c r="C126">
        <f t="shared" si="1"/>
        <v>1.83371125116</v>
      </c>
    </row>
    <row r="127" spans="1:3" x14ac:dyDescent="0.2">
      <c r="A127">
        <v>0.97414000000000001</v>
      </c>
      <c r="B127">
        <v>125.953</v>
      </c>
      <c r="C127">
        <f t="shared" si="1"/>
        <v>1.83330326119</v>
      </c>
    </row>
    <row r="128" spans="1:3" x14ac:dyDescent="0.2">
      <c r="A128">
        <v>0.98275999999999997</v>
      </c>
      <c r="B128">
        <v>125.79300000000001</v>
      </c>
      <c r="C128">
        <f t="shared" si="1"/>
        <v>1.8341284035900001</v>
      </c>
    </row>
    <row r="129" spans="1:3" x14ac:dyDescent="0.2">
      <c r="A129">
        <v>0.99138000000000004</v>
      </c>
      <c r="B129">
        <v>125.655</v>
      </c>
      <c r="C129">
        <f t="shared" si="1"/>
        <v>1.8348363877500002</v>
      </c>
    </row>
    <row r="130" spans="1:3" x14ac:dyDescent="0.2">
      <c r="A130">
        <v>1</v>
      </c>
      <c r="B130">
        <v>125.90300000000001</v>
      </c>
      <c r="C130">
        <f t="shared" si="1"/>
        <v>1.8335616131900001</v>
      </c>
    </row>
    <row r="131" spans="1:3" x14ac:dyDescent="0.2">
      <c r="A131">
        <v>1.0086200000000001</v>
      </c>
      <c r="B131">
        <v>125.654</v>
      </c>
      <c r="C131">
        <f t="shared" si="1"/>
        <v>1.8348415055600003</v>
      </c>
    </row>
    <row r="132" spans="1:3" x14ac:dyDescent="0.2">
      <c r="A132">
        <v>1.0172399999999999</v>
      </c>
      <c r="B132">
        <v>125.59699999999999</v>
      </c>
      <c r="C132">
        <f t="shared" si="1"/>
        <v>1.8351329231900002</v>
      </c>
    </row>
    <row r="133" spans="1:3" x14ac:dyDescent="0.2">
      <c r="A133">
        <v>1.02586</v>
      </c>
      <c r="B133">
        <v>125.367</v>
      </c>
      <c r="C133">
        <f t="shared" si="1"/>
        <v>1.8363028779900001</v>
      </c>
    </row>
    <row r="134" spans="1:3" x14ac:dyDescent="0.2">
      <c r="A134">
        <v>1.0344800000000001</v>
      </c>
      <c r="B134">
        <v>125.34099999999999</v>
      </c>
      <c r="C134">
        <f t="shared" si="1"/>
        <v>1.8364345347100002</v>
      </c>
    </row>
    <row r="135" spans="1:3" x14ac:dyDescent="0.2">
      <c r="A135">
        <v>1.0430999999999999</v>
      </c>
      <c r="B135">
        <v>125.32299999999999</v>
      </c>
      <c r="C135">
        <f t="shared" si="1"/>
        <v>1.8365256103900001</v>
      </c>
    </row>
    <row r="136" spans="1:3" x14ac:dyDescent="0.2">
      <c r="A136">
        <v>1.05172</v>
      </c>
      <c r="B136">
        <v>125.605</v>
      </c>
      <c r="C136">
        <f t="shared" si="1"/>
        <v>1.8350920577499998</v>
      </c>
    </row>
    <row r="137" spans="1:3" x14ac:dyDescent="0.2">
      <c r="A137">
        <v>1.0603400000000001</v>
      </c>
      <c r="B137">
        <v>125.627</v>
      </c>
      <c r="C137">
        <f t="shared" si="1"/>
        <v>1.8349796183900002</v>
      </c>
    </row>
    <row r="138" spans="1:3" x14ac:dyDescent="0.2">
      <c r="A138">
        <v>1.06897</v>
      </c>
      <c r="B138">
        <v>125.652</v>
      </c>
      <c r="C138">
        <f t="shared" si="1"/>
        <v>1.83485174064</v>
      </c>
    </row>
    <row r="139" spans="1:3" x14ac:dyDescent="0.2">
      <c r="A139">
        <v>1.07759</v>
      </c>
      <c r="B139">
        <v>125.45699999999999</v>
      </c>
      <c r="C139">
        <f t="shared" si="1"/>
        <v>1.8358462035900001</v>
      </c>
    </row>
    <row r="140" spans="1:3" x14ac:dyDescent="0.2">
      <c r="A140">
        <v>1.0862099999999999</v>
      </c>
      <c r="B140">
        <v>125.41</v>
      </c>
      <c r="C140">
        <f t="shared" si="1"/>
        <v>1.8360848710000002</v>
      </c>
    </row>
    <row r="141" spans="1:3" x14ac:dyDescent="0.2">
      <c r="A141">
        <v>1.09483</v>
      </c>
      <c r="B141">
        <v>125.339</v>
      </c>
      <c r="C141">
        <f t="shared" si="1"/>
        <v>1.8364446571099999</v>
      </c>
    </row>
    <row r="142" spans="1:3" x14ac:dyDescent="0.2">
      <c r="A142">
        <v>1.10345</v>
      </c>
      <c r="B142">
        <v>125.306</v>
      </c>
      <c r="C142">
        <f t="shared" si="1"/>
        <v>1.8366115727600001</v>
      </c>
    </row>
    <row r="143" spans="1:3" x14ac:dyDescent="0.2">
      <c r="A143">
        <v>1.1120699999999999</v>
      </c>
      <c r="B143">
        <v>125.059</v>
      </c>
      <c r="C143">
        <f t="shared" ref="C143:C206" si="2">(-0.00009*(B143^2))+0.0175*B143+1.0569</f>
        <v>1.8378546867099999</v>
      </c>
    </row>
    <row r="144" spans="1:3" x14ac:dyDescent="0.2">
      <c r="A144">
        <v>1.12069</v>
      </c>
      <c r="B144">
        <v>125.012</v>
      </c>
      <c r="C144">
        <f t="shared" si="2"/>
        <v>1.83808998704</v>
      </c>
    </row>
    <row r="145" spans="1:3" x14ac:dyDescent="0.2">
      <c r="A145">
        <v>1.12931</v>
      </c>
      <c r="B145">
        <v>125.05800000000001</v>
      </c>
      <c r="C145">
        <f t="shared" si="2"/>
        <v>1.8378596972399999</v>
      </c>
    </row>
    <row r="146" spans="1:3" x14ac:dyDescent="0.2">
      <c r="A146">
        <v>1.1379300000000001</v>
      </c>
      <c r="B146">
        <v>124.996</v>
      </c>
      <c r="C146">
        <f t="shared" si="2"/>
        <v>1.83816999856</v>
      </c>
    </row>
    <row r="147" spans="1:3" x14ac:dyDescent="0.2">
      <c r="A147">
        <v>1.14655</v>
      </c>
      <c r="B147">
        <v>124.983</v>
      </c>
      <c r="C147">
        <f t="shared" si="2"/>
        <v>1.8382349739899999</v>
      </c>
    </row>
    <row r="148" spans="1:3" x14ac:dyDescent="0.2">
      <c r="A148">
        <v>1.15517</v>
      </c>
      <c r="B148">
        <v>125</v>
      </c>
      <c r="C148">
        <f t="shared" si="2"/>
        <v>1.83815</v>
      </c>
    </row>
    <row r="149" spans="1:3" x14ac:dyDescent="0.2">
      <c r="A149">
        <v>1.1637900000000001</v>
      </c>
      <c r="B149">
        <v>124.901</v>
      </c>
      <c r="C149">
        <f t="shared" si="2"/>
        <v>1.8386441179100004</v>
      </c>
    </row>
    <row r="150" spans="1:3" x14ac:dyDescent="0.2">
      <c r="A150">
        <v>1.17241</v>
      </c>
      <c r="B150">
        <v>124.94799999999999</v>
      </c>
      <c r="C150">
        <f t="shared" si="2"/>
        <v>1.8384097566400002</v>
      </c>
    </row>
    <row r="151" spans="1:3" x14ac:dyDescent="0.2">
      <c r="A151">
        <v>1.18103</v>
      </c>
      <c r="B151">
        <v>124.64700000000001</v>
      </c>
      <c r="C151">
        <f t="shared" si="2"/>
        <v>1.83990378519</v>
      </c>
    </row>
    <row r="152" spans="1:3" x14ac:dyDescent="0.2">
      <c r="A152">
        <v>1.1896599999999999</v>
      </c>
      <c r="B152">
        <v>124.63200000000001</v>
      </c>
      <c r="C152">
        <f t="shared" si="2"/>
        <v>1.8399778118400001</v>
      </c>
    </row>
    <row r="153" spans="1:3" x14ac:dyDescent="0.2">
      <c r="A153">
        <v>1.19828</v>
      </c>
      <c r="B153">
        <v>124.45399999999999</v>
      </c>
      <c r="C153">
        <f t="shared" si="2"/>
        <v>1.8408531695600003</v>
      </c>
    </row>
    <row r="154" spans="1:3" x14ac:dyDescent="0.2">
      <c r="A154">
        <v>1.2069000000000001</v>
      </c>
      <c r="B154">
        <v>124.63500000000001</v>
      </c>
      <c r="C154">
        <f t="shared" si="2"/>
        <v>1.8399630097499999</v>
      </c>
    </row>
    <row r="155" spans="1:3" x14ac:dyDescent="0.2">
      <c r="A155">
        <v>1.2155199999999999</v>
      </c>
      <c r="B155">
        <v>124.36799999999999</v>
      </c>
      <c r="C155">
        <f t="shared" si="2"/>
        <v>1.8412740518399999</v>
      </c>
    </row>
    <row r="156" spans="1:3" x14ac:dyDescent="0.2">
      <c r="A156">
        <v>1.22414</v>
      </c>
      <c r="B156">
        <v>124.44</v>
      </c>
      <c r="C156">
        <f t="shared" si="2"/>
        <v>1.8409217760000001</v>
      </c>
    </row>
    <row r="157" spans="1:3" x14ac:dyDescent="0.2">
      <c r="A157">
        <v>1.2327600000000001</v>
      </c>
      <c r="B157">
        <v>124.309</v>
      </c>
      <c r="C157">
        <f t="shared" si="2"/>
        <v>1.8415620267100004</v>
      </c>
    </row>
    <row r="158" spans="1:3" x14ac:dyDescent="0.2">
      <c r="A158">
        <v>1.2413799999999999</v>
      </c>
      <c r="B158">
        <v>124.17400000000001</v>
      </c>
      <c r="C158">
        <f t="shared" si="2"/>
        <v>1.8422185951599999</v>
      </c>
    </row>
    <row r="159" spans="1:3" x14ac:dyDescent="0.2">
      <c r="A159">
        <v>1.25</v>
      </c>
      <c r="B159">
        <v>124.312</v>
      </c>
      <c r="C159">
        <f t="shared" si="2"/>
        <v>1.84154739904</v>
      </c>
    </row>
    <row r="160" spans="1:3" x14ac:dyDescent="0.2">
      <c r="A160">
        <v>1.2586200000000001</v>
      </c>
      <c r="B160">
        <v>124.05500000000001</v>
      </c>
      <c r="C160">
        <f t="shared" si="2"/>
        <v>1.84279462775</v>
      </c>
    </row>
    <row r="161" spans="1:3" x14ac:dyDescent="0.2">
      <c r="A161">
        <v>1.2672399999999999</v>
      </c>
      <c r="B161">
        <v>124.127</v>
      </c>
      <c r="C161">
        <f t="shared" si="2"/>
        <v>1.8424464083900001</v>
      </c>
    </row>
    <row r="162" spans="1:3" x14ac:dyDescent="0.2">
      <c r="A162">
        <v>1.27586</v>
      </c>
      <c r="B162">
        <v>124.123</v>
      </c>
      <c r="C162">
        <f t="shared" si="2"/>
        <v>1.84246577839</v>
      </c>
    </row>
    <row r="163" spans="1:3" x14ac:dyDescent="0.2">
      <c r="A163">
        <v>1.2844800000000001</v>
      </c>
      <c r="B163">
        <v>124</v>
      </c>
      <c r="C163">
        <f t="shared" si="2"/>
        <v>1.8430600000000001</v>
      </c>
    </row>
    <row r="164" spans="1:3" x14ac:dyDescent="0.2">
      <c r="A164">
        <v>1.2930999999999999</v>
      </c>
      <c r="B164">
        <v>123.998</v>
      </c>
      <c r="C164">
        <f t="shared" si="2"/>
        <v>1.8430696396400001</v>
      </c>
    </row>
    <row r="165" spans="1:3" x14ac:dyDescent="0.2">
      <c r="A165">
        <v>1.30172</v>
      </c>
      <c r="B165">
        <v>124.155</v>
      </c>
      <c r="C165">
        <f t="shared" si="2"/>
        <v>1.8423107377500001</v>
      </c>
    </row>
    <row r="166" spans="1:3" x14ac:dyDescent="0.2">
      <c r="A166">
        <v>1.3103400000000001</v>
      </c>
      <c r="B166">
        <v>124.07</v>
      </c>
      <c r="C166">
        <f t="shared" si="2"/>
        <v>1.8427221590000002</v>
      </c>
    </row>
    <row r="167" spans="1:3" x14ac:dyDescent="0.2">
      <c r="A167">
        <v>1.31897</v>
      </c>
      <c r="B167">
        <v>123.72199999999999</v>
      </c>
      <c r="C167">
        <f t="shared" si="2"/>
        <v>1.8443930044400003</v>
      </c>
    </row>
    <row r="168" spans="1:3" x14ac:dyDescent="0.2">
      <c r="A168">
        <v>1.32759</v>
      </c>
      <c r="B168">
        <v>123.66200000000001</v>
      </c>
      <c r="C168">
        <f t="shared" si="2"/>
        <v>1.8446788780400003</v>
      </c>
    </row>
    <row r="169" spans="1:3" x14ac:dyDescent="0.2">
      <c r="A169">
        <v>1.3362099999999999</v>
      </c>
      <c r="B169">
        <v>123.577</v>
      </c>
      <c r="C169">
        <f t="shared" si="2"/>
        <v>1.8450827563900003</v>
      </c>
    </row>
    <row r="170" spans="1:3" x14ac:dyDescent="0.2">
      <c r="A170">
        <v>1.34483</v>
      </c>
      <c r="B170">
        <v>123.504</v>
      </c>
      <c r="C170">
        <f t="shared" si="2"/>
        <v>1.8454285785600002</v>
      </c>
    </row>
    <row r="171" spans="1:3" x14ac:dyDescent="0.2">
      <c r="A171">
        <v>1.35345</v>
      </c>
      <c r="B171">
        <v>123.321</v>
      </c>
      <c r="C171">
        <f t="shared" si="2"/>
        <v>1.8462912863100003</v>
      </c>
    </row>
    <row r="172" spans="1:3" x14ac:dyDescent="0.2">
      <c r="A172">
        <v>1.3620699999999999</v>
      </c>
      <c r="B172">
        <v>123.18899999999999</v>
      </c>
      <c r="C172">
        <f t="shared" si="2"/>
        <v>1.8469098251099998</v>
      </c>
    </row>
    <row r="173" spans="1:3" x14ac:dyDescent="0.2">
      <c r="A173">
        <v>1.37069</v>
      </c>
      <c r="B173">
        <v>123.256</v>
      </c>
      <c r="C173">
        <f t="shared" si="2"/>
        <v>1.8465962617600002</v>
      </c>
    </row>
    <row r="174" spans="1:3" x14ac:dyDescent="0.2">
      <c r="A174">
        <v>1.37931</v>
      </c>
      <c r="B174">
        <v>123.149</v>
      </c>
      <c r="C174">
        <f t="shared" si="2"/>
        <v>1.8470966419100001</v>
      </c>
    </row>
    <row r="175" spans="1:3" x14ac:dyDescent="0.2">
      <c r="A175">
        <v>1.3879300000000001</v>
      </c>
      <c r="B175">
        <v>123.476</v>
      </c>
      <c r="C175">
        <f t="shared" si="2"/>
        <v>1.84556096816</v>
      </c>
    </row>
    <row r="176" spans="1:3" x14ac:dyDescent="0.2">
      <c r="A176">
        <v>1.39655</v>
      </c>
      <c r="B176">
        <v>123.17400000000001</v>
      </c>
      <c r="C176">
        <f t="shared" si="2"/>
        <v>1.8469799151600002</v>
      </c>
    </row>
    <row r="177" spans="1:3" x14ac:dyDescent="0.2">
      <c r="A177">
        <v>1.40517</v>
      </c>
      <c r="B177">
        <v>123.164</v>
      </c>
      <c r="C177">
        <f t="shared" si="2"/>
        <v>1.8470266193600002</v>
      </c>
    </row>
    <row r="178" spans="1:3" x14ac:dyDescent="0.2">
      <c r="A178">
        <v>1.4137900000000001</v>
      </c>
      <c r="B178">
        <v>123.03400000000001</v>
      </c>
      <c r="C178">
        <f t="shared" si="2"/>
        <v>1.8476321359600001</v>
      </c>
    </row>
    <row r="179" spans="1:3" x14ac:dyDescent="0.2">
      <c r="A179">
        <v>1.42241</v>
      </c>
      <c r="B179">
        <v>123.03100000000001</v>
      </c>
      <c r="C179">
        <f t="shared" si="2"/>
        <v>1.84764607351</v>
      </c>
    </row>
    <row r="180" spans="1:3" x14ac:dyDescent="0.2">
      <c r="A180">
        <v>1.43103</v>
      </c>
      <c r="B180">
        <v>123.304</v>
      </c>
      <c r="C180">
        <f t="shared" si="2"/>
        <v>1.8463711225599999</v>
      </c>
    </row>
    <row r="181" spans="1:3" x14ac:dyDescent="0.2">
      <c r="A181">
        <v>1.4396599999999999</v>
      </c>
      <c r="B181">
        <v>123.14400000000001</v>
      </c>
      <c r="C181">
        <f t="shared" si="2"/>
        <v>1.8471199737600001</v>
      </c>
    </row>
    <row r="182" spans="1:3" x14ac:dyDescent="0.2">
      <c r="A182">
        <v>1.44828</v>
      </c>
      <c r="B182">
        <v>123.002</v>
      </c>
      <c r="C182">
        <f t="shared" si="2"/>
        <v>1.8477807196400002</v>
      </c>
    </row>
    <row r="183" spans="1:3" x14ac:dyDescent="0.2">
      <c r="A183">
        <v>1.4569000000000001</v>
      </c>
      <c r="B183">
        <v>123</v>
      </c>
      <c r="C183">
        <f t="shared" si="2"/>
        <v>1.8477900000000003</v>
      </c>
    </row>
    <row r="184" spans="1:3" x14ac:dyDescent="0.2">
      <c r="A184">
        <v>1.4655199999999999</v>
      </c>
      <c r="B184">
        <v>123</v>
      </c>
      <c r="C184">
        <f t="shared" si="2"/>
        <v>1.8477900000000003</v>
      </c>
    </row>
    <row r="185" spans="1:3" x14ac:dyDescent="0.2">
      <c r="A185">
        <v>1.47414</v>
      </c>
      <c r="B185">
        <v>123</v>
      </c>
      <c r="C185">
        <f t="shared" si="2"/>
        <v>1.8477900000000003</v>
      </c>
    </row>
    <row r="186" spans="1:3" x14ac:dyDescent="0.2">
      <c r="A186">
        <v>1.4827600000000001</v>
      </c>
      <c r="B186">
        <v>123</v>
      </c>
      <c r="C186">
        <f t="shared" si="2"/>
        <v>1.8477900000000003</v>
      </c>
    </row>
    <row r="187" spans="1:3" x14ac:dyDescent="0.2">
      <c r="A187">
        <v>1.4913799999999999</v>
      </c>
      <c r="B187">
        <v>122.92400000000001</v>
      </c>
      <c r="C187">
        <f t="shared" si="2"/>
        <v>1.8481421201600001</v>
      </c>
    </row>
    <row r="188" spans="1:3" x14ac:dyDescent="0.2">
      <c r="A188">
        <v>1.5</v>
      </c>
      <c r="B188">
        <v>122.758</v>
      </c>
      <c r="C188">
        <f t="shared" si="2"/>
        <v>1.8489076092400003</v>
      </c>
    </row>
    <row r="189" spans="1:3" x14ac:dyDescent="0.2">
      <c r="A189">
        <v>1.5086200000000001</v>
      </c>
      <c r="B189">
        <v>122.642</v>
      </c>
      <c r="C189">
        <f t="shared" si="2"/>
        <v>1.8494395852400003</v>
      </c>
    </row>
    <row r="190" spans="1:3" x14ac:dyDescent="0.2">
      <c r="A190">
        <v>1.5172399999999999</v>
      </c>
      <c r="B190">
        <v>122.482</v>
      </c>
      <c r="C190">
        <f t="shared" si="2"/>
        <v>1.85016937084</v>
      </c>
    </row>
    <row r="191" spans="1:3" x14ac:dyDescent="0.2">
      <c r="A191">
        <v>1.52586</v>
      </c>
      <c r="B191">
        <v>122.562</v>
      </c>
      <c r="C191">
        <f t="shared" si="2"/>
        <v>1.84980505404</v>
      </c>
    </row>
    <row r="192" spans="1:3" x14ac:dyDescent="0.2">
      <c r="A192">
        <v>1.5344800000000001</v>
      </c>
      <c r="B192">
        <v>122.633</v>
      </c>
      <c r="C192">
        <f t="shared" si="2"/>
        <v>1.8494807579900001</v>
      </c>
    </row>
    <row r="193" spans="1:3" x14ac:dyDescent="0.2">
      <c r="A193">
        <v>1.5430999999999999</v>
      </c>
      <c r="B193">
        <v>122.842</v>
      </c>
      <c r="C193">
        <f t="shared" si="2"/>
        <v>1.84852087324</v>
      </c>
    </row>
    <row r="194" spans="1:3" x14ac:dyDescent="0.2">
      <c r="A194">
        <v>1.55172</v>
      </c>
      <c r="B194">
        <v>122.672</v>
      </c>
      <c r="C194">
        <f t="shared" si="2"/>
        <v>1.8493022374399999</v>
      </c>
    </row>
    <row r="195" spans="1:3" x14ac:dyDescent="0.2">
      <c r="A195">
        <v>1.5603400000000001</v>
      </c>
      <c r="B195">
        <v>122.66200000000001</v>
      </c>
      <c r="C195">
        <f t="shared" si="2"/>
        <v>1.8493480380400003</v>
      </c>
    </row>
    <row r="196" spans="1:3" x14ac:dyDescent="0.2">
      <c r="A196">
        <v>1.56897</v>
      </c>
      <c r="B196">
        <v>122.32599999999999</v>
      </c>
      <c r="C196">
        <f t="shared" si="2"/>
        <v>1.85087647516</v>
      </c>
    </row>
    <row r="197" spans="1:3" x14ac:dyDescent="0.2">
      <c r="A197">
        <v>1.57759</v>
      </c>
      <c r="B197">
        <v>122.39400000000001</v>
      </c>
      <c r="C197">
        <f t="shared" si="2"/>
        <v>1.8505687887600002</v>
      </c>
    </row>
    <row r="198" spans="1:3" x14ac:dyDescent="0.2">
      <c r="A198">
        <v>1.5862099999999999</v>
      </c>
      <c r="B198">
        <v>122.34399999999999</v>
      </c>
      <c r="C198">
        <f t="shared" si="2"/>
        <v>1.8507951097600002</v>
      </c>
    </row>
    <row r="199" spans="1:3" x14ac:dyDescent="0.2">
      <c r="A199">
        <v>1.59483</v>
      </c>
      <c r="B199">
        <v>122.004</v>
      </c>
      <c r="C199">
        <f t="shared" si="2"/>
        <v>1.85232215856</v>
      </c>
    </row>
    <row r="200" spans="1:3" x14ac:dyDescent="0.2">
      <c r="A200">
        <v>1.60345</v>
      </c>
      <c r="B200">
        <v>122</v>
      </c>
      <c r="C200">
        <f t="shared" si="2"/>
        <v>1.8523400000000001</v>
      </c>
    </row>
    <row r="201" spans="1:3" x14ac:dyDescent="0.2">
      <c r="A201">
        <v>1.6120699999999999</v>
      </c>
      <c r="B201">
        <v>122.09699999999999</v>
      </c>
      <c r="C201">
        <f t="shared" si="2"/>
        <v>1.85190653319</v>
      </c>
    </row>
    <row r="202" spans="1:3" x14ac:dyDescent="0.2">
      <c r="A202">
        <v>1.62069</v>
      </c>
      <c r="B202">
        <v>122.038</v>
      </c>
      <c r="C202">
        <f t="shared" si="2"/>
        <v>1.8521703900399999</v>
      </c>
    </row>
    <row r="203" spans="1:3" x14ac:dyDescent="0.2">
      <c r="A203">
        <v>1.62931</v>
      </c>
      <c r="B203">
        <v>122.069</v>
      </c>
      <c r="C203">
        <f t="shared" si="2"/>
        <v>1.8520318315099999</v>
      </c>
    </row>
    <row r="204" spans="1:3" x14ac:dyDescent="0.2">
      <c r="A204">
        <v>1.6379300000000001</v>
      </c>
      <c r="B204">
        <v>122.075</v>
      </c>
      <c r="C204">
        <f t="shared" si="2"/>
        <v>1.8520049937500001</v>
      </c>
    </row>
    <row r="205" spans="1:3" x14ac:dyDescent="0.2">
      <c r="A205">
        <v>1.64655</v>
      </c>
      <c r="B205">
        <v>121.929</v>
      </c>
      <c r="C205">
        <f t="shared" si="2"/>
        <v>1.8526562063100001</v>
      </c>
    </row>
    <row r="206" spans="1:3" x14ac:dyDescent="0.2">
      <c r="A206">
        <v>1.65517</v>
      </c>
      <c r="B206">
        <v>121.879</v>
      </c>
      <c r="C206">
        <f t="shared" si="2"/>
        <v>1.8528783423100004</v>
      </c>
    </row>
    <row r="207" spans="1:3" x14ac:dyDescent="0.2">
      <c r="A207">
        <v>1.6637900000000001</v>
      </c>
      <c r="B207">
        <v>122.16500000000001</v>
      </c>
      <c r="C207">
        <f t="shared" ref="C207:C270" si="3">(-0.00009*(B207^2))+0.0175*B207+1.0569</f>
        <v>1.8516016497499999</v>
      </c>
    </row>
    <row r="208" spans="1:3" x14ac:dyDescent="0.2">
      <c r="A208">
        <v>1.67241</v>
      </c>
      <c r="B208">
        <v>122.629</v>
      </c>
      <c r="C208">
        <f t="shared" si="3"/>
        <v>1.8494990523099999</v>
      </c>
    </row>
    <row r="209" spans="1:3" x14ac:dyDescent="0.2">
      <c r="A209">
        <v>1.68103</v>
      </c>
      <c r="B209">
        <v>122.44199999999999</v>
      </c>
      <c r="C209">
        <f t="shared" si="3"/>
        <v>1.8503510972399999</v>
      </c>
    </row>
    <row r="210" spans="1:3" x14ac:dyDescent="0.2">
      <c r="A210">
        <v>1.6896599999999999</v>
      </c>
      <c r="B210">
        <v>121.883</v>
      </c>
      <c r="C210">
        <f t="shared" si="3"/>
        <v>1.85286058799</v>
      </c>
    </row>
    <row r="211" spans="1:3" x14ac:dyDescent="0.2">
      <c r="A211">
        <v>1.69828</v>
      </c>
      <c r="B211">
        <v>121.598</v>
      </c>
      <c r="C211">
        <f t="shared" si="3"/>
        <v>1.8541183756400001</v>
      </c>
    </row>
    <row r="212" spans="1:3" x14ac:dyDescent="0.2">
      <c r="A212">
        <v>1.7069000000000001</v>
      </c>
      <c r="B212">
        <v>121.59699999999999</v>
      </c>
      <c r="C212">
        <f t="shared" si="3"/>
        <v>1.8541227631899999</v>
      </c>
    </row>
    <row r="213" spans="1:3" x14ac:dyDescent="0.2">
      <c r="A213">
        <v>1.7155199999999999</v>
      </c>
      <c r="B213">
        <v>121.498</v>
      </c>
      <c r="C213">
        <f t="shared" si="3"/>
        <v>1.8545562396399999</v>
      </c>
    </row>
    <row r="214" spans="1:3" x14ac:dyDescent="0.2">
      <c r="A214">
        <v>1.72414</v>
      </c>
      <c r="B214">
        <v>121.35899999999999</v>
      </c>
      <c r="C214">
        <f t="shared" si="3"/>
        <v>1.8551618807099999</v>
      </c>
    </row>
    <row r="215" spans="1:3" x14ac:dyDescent="0.2">
      <c r="A215">
        <v>1.7327600000000001</v>
      </c>
      <c r="B215">
        <v>121.004</v>
      </c>
      <c r="C215">
        <f t="shared" si="3"/>
        <v>1.8566928785599999</v>
      </c>
    </row>
    <row r="216" spans="1:3" x14ac:dyDescent="0.2">
      <c r="A216">
        <v>1.7413799999999999</v>
      </c>
      <c r="B216">
        <v>121</v>
      </c>
      <c r="C216">
        <f t="shared" si="3"/>
        <v>1.8567100000000001</v>
      </c>
    </row>
    <row r="217" spans="1:3" x14ac:dyDescent="0.2">
      <c r="A217">
        <v>1.75</v>
      </c>
      <c r="B217">
        <v>121</v>
      </c>
      <c r="C217">
        <f t="shared" si="3"/>
        <v>1.8567100000000001</v>
      </c>
    </row>
    <row r="218" spans="1:3" x14ac:dyDescent="0.2">
      <c r="A218">
        <v>1.7586200000000001</v>
      </c>
      <c r="B218">
        <v>121</v>
      </c>
      <c r="C218">
        <f t="shared" si="3"/>
        <v>1.8567100000000001</v>
      </c>
    </row>
    <row r="219" spans="1:3" x14ac:dyDescent="0.2">
      <c r="A219">
        <v>1.7672399999999999</v>
      </c>
      <c r="B219">
        <v>121</v>
      </c>
      <c r="C219">
        <f t="shared" si="3"/>
        <v>1.8567100000000001</v>
      </c>
    </row>
    <row r="220" spans="1:3" x14ac:dyDescent="0.2">
      <c r="A220">
        <v>1.77586</v>
      </c>
      <c r="B220">
        <v>121</v>
      </c>
      <c r="C220">
        <f t="shared" si="3"/>
        <v>1.8567100000000001</v>
      </c>
    </row>
    <row r="221" spans="1:3" x14ac:dyDescent="0.2">
      <c r="A221">
        <v>1.7844800000000001</v>
      </c>
      <c r="B221">
        <v>121</v>
      </c>
      <c r="C221">
        <f t="shared" si="3"/>
        <v>1.8567100000000001</v>
      </c>
    </row>
    <row r="222" spans="1:3" x14ac:dyDescent="0.2">
      <c r="A222">
        <v>1.7930999999999999</v>
      </c>
      <c r="B222">
        <v>120.952</v>
      </c>
      <c r="C222">
        <f t="shared" si="3"/>
        <v>1.8569152326399998</v>
      </c>
    </row>
    <row r="223" spans="1:3" x14ac:dyDescent="0.2">
      <c r="A223">
        <v>1.80172</v>
      </c>
      <c r="B223">
        <v>120.774</v>
      </c>
      <c r="C223">
        <f t="shared" si="3"/>
        <v>1.8576726831600001</v>
      </c>
    </row>
    <row r="224" spans="1:3" x14ac:dyDescent="0.2">
      <c r="A224">
        <v>1.8103400000000001</v>
      </c>
      <c r="B224">
        <v>120.629</v>
      </c>
      <c r="C224">
        <f t="shared" si="3"/>
        <v>1.8582854923100001</v>
      </c>
    </row>
    <row r="225" spans="1:3" x14ac:dyDescent="0.2">
      <c r="A225">
        <v>1.81897</v>
      </c>
      <c r="B225">
        <v>120.81</v>
      </c>
      <c r="C225">
        <f t="shared" si="3"/>
        <v>1.8575199510000002</v>
      </c>
    </row>
    <row r="226" spans="1:3" x14ac:dyDescent="0.2">
      <c r="A226">
        <v>1.82759</v>
      </c>
      <c r="B226">
        <v>120.961</v>
      </c>
      <c r="C226">
        <f t="shared" si="3"/>
        <v>1.8568767831100002</v>
      </c>
    </row>
    <row r="227" spans="1:3" x14ac:dyDescent="0.2">
      <c r="A227">
        <v>1.8362099999999999</v>
      </c>
      <c r="B227">
        <v>120.76900000000001</v>
      </c>
      <c r="C227">
        <f t="shared" si="3"/>
        <v>1.85769387751</v>
      </c>
    </row>
    <row r="228" spans="1:3" x14ac:dyDescent="0.2">
      <c r="A228">
        <v>1.84483</v>
      </c>
      <c r="B228">
        <v>120.322</v>
      </c>
      <c r="C228">
        <f t="shared" si="3"/>
        <v>1.8595704684400003</v>
      </c>
    </row>
    <row r="229" spans="1:3" x14ac:dyDescent="0.2">
      <c r="A229">
        <v>1.85345</v>
      </c>
      <c r="B229">
        <v>120.42</v>
      </c>
      <c r="C229">
        <f t="shared" si="3"/>
        <v>1.8591621240000002</v>
      </c>
    </row>
    <row r="230" spans="1:3" x14ac:dyDescent="0.2">
      <c r="A230">
        <v>1.8620699999999999</v>
      </c>
      <c r="B230">
        <v>120.38200000000001</v>
      </c>
      <c r="C230">
        <f t="shared" si="3"/>
        <v>1.85932066684</v>
      </c>
    </row>
    <row r="231" spans="1:3" x14ac:dyDescent="0.2">
      <c r="A231">
        <v>1.87069</v>
      </c>
      <c r="B231">
        <v>120.465</v>
      </c>
      <c r="C231">
        <f t="shared" si="3"/>
        <v>1.8589740397500001</v>
      </c>
    </row>
    <row r="232" spans="1:3" x14ac:dyDescent="0.2">
      <c r="A232">
        <v>1.87931</v>
      </c>
      <c r="B232">
        <v>120.622</v>
      </c>
      <c r="C232">
        <f t="shared" si="3"/>
        <v>1.8583149804399999</v>
      </c>
    </row>
    <row r="233" spans="1:3" x14ac:dyDescent="0.2">
      <c r="A233">
        <v>1.8879300000000001</v>
      </c>
      <c r="B233">
        <v>120.65600000000001</v>
      </c>
      <c r="C233">
        <f t="shared" si="3"/>
        <v>1.8581716697599999</v>
      </c>
    </row>
    <row r="234" spans="1:3" x14ac:dyDescent="0.2">
      <c r="A234">
        <v>1.89655</v>
      </c>
      <c r="B234">
        <v>120.277</v>
      </c>
      <c r="C234">
        <f t="shared" si="3"/>
        <v>1.8597573943900003</v>
      </c>
    </row>
    <row r="235" spans="1:3" x14ac:dyDescent="0.2">
      <c r="A235">
        <v>1.90517</v>
      </c>
      <c r="B235">
        <v>120.238</v>
      </c>
      <c r="C235">
        <f t="shared" si="3"/>
        <v>1.8599191020400001</v>
      </c>
    </row>
    <row r="236" spans="1:3" x14ac:dyDescent="0.2">
      <c r="A236">
        <v>1.9137900000000001</v>
      </c>
      <c r="B236">
        <v>120.146</v>
      </c>
      <c r="C236">
        <f t="shared" si="3"/>
        <v>1.86029948156</v>
      </c>
    </row>
    <row r="237" spans="1:3" x14ac:dyDescent="0.2">
      <c r="A237">
        <v>1.92241</v>
      </c>
      <c r="B237">
        <v>120.04</v>
      </c>
      <c r="C237">
        <f t="shared" si="3"/>
        <v>1.860735856</v>
      </c>
    </row>
    <row r="238" spans="1:3" x14ac:dyDescent="0.2">
      <c r="A238">
        <v>1.93103</v>
      </c>
      <c r="B238">
        <v>120</v>
      </c>
      <c r="C238">
        <f t="shared" si="3"/>
        <v>1.8609</v>
      </c>
    </row>
    <row r="239" spans="1:3" x14ac:dyDescent="0.2">
      <c r="A239">
        <v>1.9396599999999999</v>
      </c>
      <c r="B239">
        <v>119.965</v>
      </c>
      <c r="C239">
        <f t="shared" si="3"/>
        <v>1.8610433897500001</v>
      </c>
    </row>
    <row r="240" spans="1:3" x14ac:dyDescent="0.2">
      <c r="A240">
        <v>1.94828</v>
      </c>
      <c r="B240">
        <v>120</v>
      </c>
      <c r="C240">
        <f t="shared" si="3"/>
        <v>1.8609</v>
      </c>
    </row>
    <row r="241" spans="1:3" x14ac:dyDescent="0.2">
      <c r="A241">
        <v>1.9569000000000001</v>
      </c>
      <c r="B241">
        <v>120.122</v>
      </c>
      <c r="C241">
        <f t="shared" si="3"/>
        <v>1.8603984604399999</v>
      </c>
    </row>
    <row r="242" spans="1:3" x14ac:dyDescent="0.2">
      <c r="A242">
        <v>1.9655199999999999</v>
      </c>
      <c r="B242">
        <v>119.995</v>
      </c>
      <c r="C242">
        <f t="shared" si="3"/>
        <v>1.86092049775</v>
      </c>
    </row>
    <row r="243" spans="1:3" x14ac:dyDescent="0.2">
      <c r="A243">
        <v>1.97414</v>
      </c>
      <c r="B243">
        <v>120</v>
      </c>
      <c r="C243">
        <f t="shared" si="3"/>
        <v>1.8609</v>
      </c>
    </row>
    <row r="244" spans="1:3" x14ac:dyDescent="0.2">
      <c r="A244">
        <v>1.9827600000000001</v>
      </c>
      <c r="B244">
        <v>119.943</v>
      </c>
      <c r="C244">
        <f t="shared" si="3"/>
        <v>1.8611334075900001</v>
      </c>
    </row>
    <row r="245" spans="1:3" x14ac:dyDescent="0.2">
      <c r="A245">
        <v>1.9913799999999999</v>
      </c>
      <c r="B245">
        <v>119.824</v>
      </c>
      <c r="C245">
        <f t="shared" si="3"/>
        <v>1.8616188121600001</v>
      </c>
    </row>
    <row r="246" spans="1:3" x14ac:dyDescent="0.2">
      <c r="A246">
        <v>2</v>
      </c>
      <c r="B246">
        <v>119.416</v>
      </c>
      <c r="C246">
        <f t="shared" si="3"/>
        <v>1.86326370496</v>
      </c>
    </row>
    <row r="247" spans="1:3" x14ac:dyDescent="0.2">
      <c r="A247">
        <v>2.0086200000000001</v>
      </c>
      <c r="B247">
        <v>119.63500000000001</v>
      </c>
      <c r="C247">
        <f t="shared" si="3"/>
        <v>1.86238450975</v>
      </c>
    </row>
    <row r="248" spans="1:3" x14ac:dyDescent="0.2">
      <c r="A248">
        <v>2.0172400000000001</v>
      </c>
      <c r="B248">
        <v>119.489</v>
      </c>
      <c r="C248">
        <f t="shared" si="3"/>
        <v>1.86297159911</v>
      </c>
    </row>
    <row r="249" spans="1:3" x14ac:dyDescent="0.2">
      <c r="A249">
        <v>2.0258600000000002</v>
      </c>
      <c r="B249">
        <v>119.242</v>
      </c>
      <c r="C249">
        <f t="shared" si="3"/>
        <v>1.8639560892400002</v>
      </c>
    </row>
    <row r="250" spans="1:3" x14ac:dyDescent="0.2">
      <c r="A250">
        <v>2.0344799999999998</v>
      </c>
      <c r="B250">
        <v>119.018</v>
      </c>
      <c r="C250">
        <f t="shared" si="3"/>
        <v>1.8648394108399999</v>
      </c>
    </row>
    <row r="251" spans="1:3" x14ac:dyDescent="0.2">
      <c r="A251">
        <v>2.0430999999999999</v>
      </c>
      <c r="B251">
        <v>119.072</v>
      </c>
      <c r="C251">
        <f t="shared" si="3"/>
        <v>1.8646272934400001</v>
      </c>
    </row>
    <row r="252" spans="1:3" x14ac:dyDescent="0.2">
      <c r="A252">
        <v>2.05172</v>
      </c>
      <c r="B252">
        <v>118.768</v>
      </c>
      <c r="C252">
        <f t="shared" si="3"/>
        <v>1.8658145958399999</v>
      </c>
    </row>
    <row r="253" spans="1:3" x14ac:dyDescent="0.2">
      <c r="A253">
        <v>2.0603400000000001</v>
      </c>
      <c r="B253">
        <v>118.822</v>
      </c>
      <c r="C253">
        <f t="shared" si="3"/>
        <v>1.8656049084400002</v>
      </c>
    </row>
    <row r="254" spans="1:3" x14ac:dyDescent="0.2">
      <c r="A254">
        <v>2.0689700000000002</v>
      </c>
      <c r="B254">
        <v>118.747</v>
      </c>
      <c r="C254">
        <f t="shared" si="3"/>
        <v>1.8658959991900002</v>
      </c>
    </row>
    <row r="255" spans="1:3" x14ac:dyDescent="0.2">
      <c r="A255">
        <v>2.0775899999999998</v>
      </c>
      <c r="B255">
        <v>118.699</v>
      </c>
      <c r="C255">
        <f t="shared" si="3"/>
        <v>1.86608176591</v>
      </c>
    </row>
    <row r="256" spans="1:3" x14ac:dyDescent="0.2">
      <c r="A256">
        <v>2.0862099999999999</v>
      </c>
      <c r="B256">
        <v>118.51900000000001</v>
      </c>
      <c r="C256">
        <f t="shared" si="3"/>
        <v>1.8667746975100001</v>
      </c>
    </row>
    <row r="257" spans="1:3" x14ac:dyDescent="0.2">
      <c r="A257">
        <v>2.09483</v>
      </c>
      <c r="B257">
        <v>118.193</v>
      </c>
      <c r="C257">
        <f t="shared" si="3"/>
        <v>1.8680148275899999</v>
      </c>
    </row>
    <row r="258" spans="1:3" x14ac:dyDescent="0.2">
      <c r="A258">
        <v>2.10345</v>
      </c>
      <c r="B258">
        <v>118.40300000000001</v>
      </c>
      <c r="C258">
        <f t="shared" si="3"/>
        <v>1.86721816319</v>
      </c>
    </row>
    <row r="259" spans="1:3" x14ac:dyDescent="0.2">
      <c r="A259">
        <v>2.1120700000000001</v>
      </c>
      <c r="B259">
        <v>117.88</v>
      </c>
      <c r="C259">
        <f t="shared" si="3"/>
        <v>1.8691875039999999</v>
      </c>
    </row>
    <row r="260" spans="1:3" x14ac:dyDescent="0.2">
      <c r="A260">
        <v>2.1206900000000002</v>
      </c>
      <c r="B260">
        <v>117.761</v>
      </c>
      <c r="C260">
        <f t="shared" si="3"/>
        <v>1.8696287191100001</v>
      </c>
    </row>
    <row r="261" spans="1:3" x14ac:dyDescent="0.2">
      <c r="A261">
        <v>2.1293099999999998</v>
      </c>
      <c r="B261">
        <v>117.95399999999999</v>
      </c>
      <c r="C261">
        <f t="shared" si="3"/>
        <v>1.8689118495600003</v>
      </c>
    </row>
    <row r="262" spans="1:3" x14ac:dyDescent="0.2">
      <c r="A262">
        <v>2.1379299999999999</v>
      </c>
      <c r="B262">
        <v>117.986</v>
      </c>
      <c r="C262">
        <f t="shared" si="3"/>
        <v>1.8687923423600001</v>
      </c>
    </row>
    <row r="263" spans="1:3" x14ac:dyDescent="0.2">
      <c r="A263">
        <v>2.14655</v>
      </c>
      <c r="B263">
        <v>117.812</v>
      </c>
      <c r="C263">
        <f t="shared" si="3"/>
        <v>1.8694399390400001</v>
      </c>
    </row>
    <row r="264" spans="1:3" x14ac:dyDescent="0.2">
      <c r="A264">
        <v>2.15517</v>
      </c>
      <c r="B264">
        <v>117.855</v>
      </c>
      <c r="C264">
        <f t="shared" si="3"/>
        <v>1.8692804077499998</v>
      </c>
    </row>
    <row r="265" spans="1:3" x14ac:dyDescent="0.2">
      <c r="A265">
        <v>2.1637900000000001</v>
      </c>
      <c r="B265">
        <v>117.72</v>
      </c>
      <c r="C265">
        <f t="shared" si="3"/>
        <v>1.8697801440000001</v>
      </c>
    </row>
    <row r="266" spans="1:3" x14ac:dyDescent="0.2">
      <c r="A266">
        <v>2.1724100000000002</v>
      </c>
      <c r="B266">
        <v>117.16</v>
      </c>
      <c r="C266">
        <f t="shared" si="3"/>
        <v>1.8718180959999999</v>
      </c>
    </row>
    <row r="267" spans="1:3" x14ac:dyDescent="0.2">
      <c r="A267">
        <v>2.1810299999999998</v>
      </c>
      <c r="B267">
        <v>117.127</v>
      </c>
      <c r="C267">
        <f t="shared" si="3"/>
        <v>1.8719364283900002</v>
      </c>
    </row>
    <row r="268" spans="1:3" x14ac:dyDescent="0.2">
      <c r="A268">
        <v>2.1896599999999999</v>
      </c>
      <c r="B268">
        <v>117.26</v>
      </c>
      <c r="C268">
        <f t="shared" si="3"/>
        <v>1.8714583160000002</v>
      </c>
    </row>
    <row r="269" spans="1:3" x14ac:dyDescent="0.2">
      <c r="A269">
        <v>2.19828</v>
      </c>
      <c r="B269">
        <v>117.217</v>
      </c>
      <c r="C269">
        <f t="shared" si="3"/>
        <v>1.8716132419899998</v>
      </c>
    </row>
    <row r="270" spans="1:3" x14ac:dyDescent="0.2">
      <c r="A270">
        <v>2.2069000000000001</v>
      </c>
      <c r="B270">
        <v>117.139</v>
      </c>
      <c r="C270">
        <f t="shared" si="3"/>
        <v>1.87189342111</v>
      </c>
    </row>
    <row r="271" spans="1:3" x14ac:dyDescent="0.2">
      <c r="A271">
        <v>2.2155200000000002</v>
      </c>
      <c r="B271">
        <v>117.129</v>
      </c>
      <c r="C271">
        <f t="shared" ref="C271:C334" si="4">(-0.00009*(B271^2))+0.0175*B271+1.0569</f>
        <v>1.8719292623099999</v>
      </c>
    </row>
    <row r="272" spans="1:3" x14ac:dyDescent="0.2">
      <c r="A272">
        <v>2.2241399999999998</v>
      </c>
      <c r="B272">
        <v>117.131</v>
      </c>
      <c r="C272">
        <f t="shared" si="4"/>
        <v>1.87192209551</v>
      </c>
    </row>
    <row r="273" spans="1:3" x14ac:dyDescent="0.2">
      <c r="A273">
        <v>2.2327599999999999</v>
      </c>
      <c r="B273">
        <v>116.905</v>
      </c>
      <c r="C273">
        <f t="shared" si="4"/>
        <v>1.8727273877500001</v>
      </c>
    </row>
    <row r="274" spans="1:3" x14ac:dyDescent="0.2">
      <c r="A274">
        <v>2.2413799999999999</v>
      </c>
      <c r="B274">
        <v>116.923</v>
      </c>
      <c r="C274">
        <f t="shared" si="4"/>
        <v>1.8726635863900001</v>
      </c>
    </row>
    <row r="275" spans="1:3" x14ac:dyDescent="0.2">
      <c r="A275">
        <v>2.25</v>
      </c>
      <c r="B275">
        <v>116.666</v>
      </c>
      <c r="C275">
        <f t="shared" si="4"/>
        <v>1.87356899996</v>
      </c>
    </row>
    <row r="276" spans="1:3" x14ac:dyDescent="0.2">
      <c r="A276">
        <v>2.2586200000000001</v>
      </c>
      <c r="B276">
        <v>116.54900000000001</v>
      </c>
      <c r="C276">
        <f t="shared" si="4"/>
        <v>1.8739772539099999</v>
      </c>
    </row>
    <row r="277" spans="1:3" x14ac:dyDescent="0.2">
      <c r="A277">
        <v>2.2672400000000001</v>
      </c>
      <c r="B277">
        <v>116.35599999999999</v>
      </c>
      <c r="C277">
        <f t="shared" si="4"/>
        <v>1.8746453137600001</v>
      </c>
    </row>
    <row r="278" spans="1:3" x14ac:dyDescent="0.2">
      <c r="A278">
        <v>2.2758600000000002</v>
      </c>
      <c r="B278">
        <v>116.035</v>
      </c>
      <c r="C278">
        <f t="shared" si="4"/>
        <v>1.87574158975</v>
      </c>
    </row>
    <row r="279" spans="1:3" x14ac:dyDescent="0.2">
      <c r="A279">
        <v>2.2844799999999998</v>
      </c>
      <c r="B279">
        <v>116</v>
      </c>
      <c r="C279">
        <f t="shared" si="4"/>
        <v>1.8758600000000001</v>
      </c>
    </row>
    <row r="280" spans="1:3" x14ac:dyDescent="0.2">
      <c r="A280">
        <v>2.2930999999999999</v>
      </c>
      <c r="B280">
        <v>115.93600000000001</v>
      </c>
      <c r="C280">
        <f t="shared" si="4"/>
        <v>1.87607595136</v>
      </c>
    </row>
    <row r="281" spans="1:3" x14ac:dyDescent="0.2">
      <c r="A281">
        <v>2.30172</v>
      </c>
      <c r="B281">
        <v>115.812</v>
      </c>
      <c r="C281">
        <f t="shared" si="4"/>
        <v>1.8764922590399999</v>
      </c>
    </row>
    <row r="282" spans="1:3" x14ac:dyDescent="0.2">
      <c r="A282">
        <v>2.3103400000000001</v>
      </c>
      <c r="B282">
        <v>115.82899999999999</v>
      </c>
      <c r="C282">
        <f t="shared" si="4"/>
        <v>1.8764353483100003</v>
      </c>
    </row>
    <row r="283" spans="1:3" x14ac:dyDescent="0.2">
      <c r="A283">
        <v>2.3189700000000002</v>
      </c>
      <c r="B283">
        <v>115.861</v>
      </c>
      <c r="C283">
        <f t="shared" si="4"/>
        <v>1.8763280811100003</v>
      </c>
    </row>
    <row r="284" spans="1:3" x14ac:dyDescent="0.2">
      <c r="A284">
        <v>2.3275899999999998</v>
      </c>
      <c r="B284">
        <v>115.53400000000001</v>
      </c>
      <c r="C284">
        <f t="shared" si="4"/>
        <v>1.87741553596</v>
      </c>
    </row>
    <row r="285" spans="1:3" x14ac:dyDescent="0.2">
      <c r="A285">
        <v>2.3362099999999999</v>
      </c>
      <c r="B285">
        <v>115.322</v>
      </c>
      <c r="C285">
        <f t="shared" si="4"/>
        <v>1.8781102684400002</v>
      </c>
    </row>
    <row r="286" spans="1:3" x14ac:dyDescent="0.2">
      <c r="A286">
        <v>2.34483</v>
      </c>
      <c r="B286">
        <v>115.211</v>
      </c>
      <c r="C286">
        <f t="shared" si="4"/>
        <v>1.8784707931100002</v>
      </c>
    </row>
    <row r="287" spans="1:3" x14ac:dyDescent="0.2">
      <c r="A287">
        <v>2.35345</v>
      </c>
      <c r="B287">
        <v>115.093</v>
      </c>
      <c r="C287">
        <f t="shared" si="4"/>
        <v>1.8788516215900002</v>
      </c>
    </row>
    <row r="288" spans="1:3" x14ac:dyDescent="0.2">
      <c r="A288">
        <v>2.3620700000000001</v>
      </c>
      <c r="B288">
        <v>114.875</v>
      </c>
      <c r="C288">
        <f t="shared" si="4"/>
        <v>1.8795485937500003</v>
      </c>
    </row>
    <row r="289" spans="1:3" x14ac:dyDescent="0.2">
      <c r="A289">
        <v>2.3706900000000002</v>
      </c>
      <c r="B289">
        <v>114.408</v>
      </c>
      <c r="C289">
        <f t="shared" si="4"/>
        <v>1.8810128582400001</v>
      </c>
    </row>
    <row r="290" spans="1:3" x14ac:dyDescent="0.2">
      <c r="A290">
        <v>2.3793099999999998</v>
      </c>
      <c r="B290">
        <v>114.205</v>
      </c>
      <c r="C290">
        <f t="shared" si="4"/>
        <v>1.88163711775</v>
      </c>
    </row>
    <row r="291" spans="1:3" x14ac:dyDescent="0.2">
      <c r="A291">
        <v>2.3879299999999999</v>
      </c>
      <c r="B291">
        <v>114.26</v>
      </c>
      <c r="C291">
        <f t="shared" si="4"/>
        <v>1.8814687160000001</v>
      </c>
    </row>
    <row r="292" spans="1:3" x14ac:dyDescent="0.2">
      <c r="A292">
        <v>2.39655</v>
      </c>
      <c r="B292">
        <v>114.021</v>
      </c>
      <c r="C292">
        <f t="shared" si="4"/>
        <v>1.8821965403100001</v>
      </c>
    </row>
    <row r="293" spans="1:3" x14ac:dyDescent="0.2">
      <c r="A293">
        <v>2.40517</v>
      </c>
      <c r="B293">
        <v>114.062</v>
      </c>
      <c r="C293">
        <f t="shared" si="4"/>
        <v>1.88207241404</v>
      </c>
    </row>
    <row r="294" spans="1:3" x14ac:dyDescent="0.2">
      <c r="A294">
        <v>2.4137900000000001</v>
      </c>
      <c r="B294">
        <v>113.801</v>
      </c>
      <c r="C294">
        <f t="shared" si="4"/>
        <v>1.88285741591</v>
      </c>
    </row>
    <row r="295" spans="1:3" x14ac:dyDescent="0.2">
      <c r="A295">
        <v>2.4224100000000002</v>
      </c>
      <c r="B295">
        <v>113.30500000000001</v>
      </c>
      <c r="C295">
        <f t="shared" si="4"/>
        <v>1.8843154277499998</v>
      </c>
    </row>
    <row r="296" spans="1:3" x14ac:dyDescent="0.2">
      <c r="A296">
        <v>2.4310299999999998</v>
      </c>
      <c r="B296">
        <v>113.134</v>
      </c>
      <c r="C296">
        <f t="shared" si="4"/>
        <v>1.8848078239600001</v>
      </c>
    </row>
    <row r="297" spans="1:3" x14ac:dyDescent="0.2">
      <c r="A297">
        <v>2.4396599999999999</v>
      </c>
      <c r="B297">
        <v>113.057</v>
      </c>
      <c r="C297">
        <f t="shared" si="4"/>
        <v>1.8850278275900001</v>
      </c>
    </row>
    <row r="298" spans="1:3" x14ac:dyDescent="0.2">
      <c r="A298">
        <v>2.44828</v>
      </c>
      <c r="B298">
        <v>112.66200000000001</v>
      </c>
      <c r="C298">
        <f t="shared" si="4"/>
        <v>1.8861396380400002</v>
      </c>
    </row>
    <row r="299" spans="1:3" x14ac:dyDescent="0.2">
      <c r="A299">
        <v>2.4569000000000001</v>
      </c>
      <c r="B299">
        <v>112.446</v>
      </c>
      <c r="C299">
        <f t="shared" si="4"/>
        <v>1.8867357375600002</v>
      </c>
    </row>
    <row r="300" spans="1:3" x14ac:dyDescent="0.2">
      <c r="A300">
        <v>2.4655200000000002</v>
      </c>
      <c r="B300">
        <v>112.538</v>
      </c>
      <c r="C300">
        <f t="shared" si="4"/>
        <v>1.88648287004</v>
      </c>
    </row>
    <row r="301" spans="1:3" x14ac:dyDescent="0.2">
      <c r="A301">
        <v>2.4741399999999998</v>
      </c>
      <c r="B301">
        <v>112.011</v>
      </c>
      <c r="C301">
        <f t="shared" si="4"/>
        <v>1.8879107291099999</v>
      </c>
    </row>
    <row r="302" spans="1:3" x14ac:dyDescent="0.2">
      <c r="A302">
        <v>2.4827599999999999</v>
      </c>
      <c r="B302">
        <v>112.009</v>
      </c>
      <c r="C302">
        <f t="shared" si="4"/>
        <v>1.8879160527100001</v>
      </c>
    </row>
    <row r="303" spans="1:3" x14ac:dyDescent="0.2">
      <c r="A303">
        <v>2.4913799999999999</v>
      </c>
      <c r="B303">
        <v>111.91800000000001</v>
      </c>
      <c r="C303">
        <f t="shared" si="4"/>
        <v>1.8881575148400001</v>
      </c>
    </row>
    <row r="304" spans="1:3" x14ac:dyDescent="0.2">
      <c r="A304">
        <v>2.5</v>
      </c>
      <c r="B304">
        <v>112.473</v>
      </c>
      <c r="C304">
        <f t="shared" si="4"/>
        <v>1.8866616843899999</v>
      </c>
    </row>
    <row r="305" spans="1:3" x14ac:dyDescent="0.2">
      <c r="A305">
        <v>2.5086200000000001</v>
      </c>
      <c r="B305">
        <v>112.444</v>
      </c>
      <c r="C305">
        <f t="shared" si="4"/>
        <v>1.88674121776</v>
      </c>
    </row>
    <row r="306" spans="1:3" x14ac:dyDescent="0.2">
      <c r="A306">
        <v>2.5172400000000001</v>
      </c>
      <c r="B306">
        <v>111.381</v>
      </c>
      <c r="C306">
        <f t="shared" si="4"/>
        <v>1.8895520555100001</v>
      </c>
    </row>
    <row r="307" spans="1:3" x14ac:dyDescent="0.2">
      <c r="A307">
        <v>2.5258600000000002</v>
      </c>
      <c r="B307">
        <v>110.72199999999999</v>
      </c>
      <c r="C307">
        <f t="shared" si="4"/>
        <v>1.8911924844400001</v>
      </c>
    </row>
    <row r="308" spans="1:3" x14ac:dyDescent="0.2">
      <c r="A308">
        <v>2.5344799999999998</v>
      </c>
      <c r="B308">
        <v>110.767</v>
      </c>
      <c r="C308">
        <f t="shared" si="4"/>
        <v>1.89108295399</v>
      </c>
    </row>
    <row r="309" spans="1:3" x14ac:dyDescent="0.2">
      <c r="A309">
        <v>2.5430999999999999</v>
      </c>
      <c r="B309">
        <v>110.587</v>
      </c>
      <c r="C309">
        <f t="shared" si="4"/>
        <v>1.8915188887900001</v>
      </c>
    </row>
    <row r="310" spans="1:3" x14ac:dyDescent="0.2">
      <c r="A310">
        <v>2.55172</v>
      </c>
      <c r="B310">
        <v>110.392</v>
      </c>
      <c r="C310">
        <f t="shared" si="4"/>
        <v>1.89198457024</v>
      </c>
    </row>
    <row r="311" spans="1:3" x14ac:dyDescent="0.2">
      <c r="A311">
        <v>2.5603400000000001</v>
      </c>
      <c r="B311">
        <v>109.91800000000001</v>
      </c>
      <c r="C311">
        <f t="shared" si="4"/>
        <v>1.8930879948399999</v>
      </c>
    </row>
    <row r="312" spans="1:3" x14ac:dyDescent="0.2">
      <c r="A312">
        <v>2.5689700000000002</v>
      </c>
      <c r="B312">
        <v>109.633</v>
      </c>
      <c r="C312">
        <f t="shared" si="4"/>
        <v>1.8937319779899999</v>
      </c>
    </row>
    <row r="313" spans="1:3" x14ac:dyDescent="0.2">
      <c r="A313">
        <v>2.5775899999999998</v>
      </c>
      <c r="B313">
        <v>109.383</v>
      </c>
      <c r="C313">
        <f t="shared" si="4"/>
        <v>1.8942848379899999</v>
      </c>
    </row>
    <row r="314" spans="1:3" x14ac:dyDescent="0.2">
      <c r="A314">
        <v>2.5862099999999999</v>
      </c>
      <c r="B314">
        <v>109.30800000000001</v>
      </c>
      <c r="C314">
        <f t="shared" si="4"/>
        <v>1.8944485022399999</v>
      </c>
    </row>
    <row r="315" spans="1:3" x14ac:dyDescent="0.2">
      <c r="A315">
        <v>2.59483</v>
      </c>
      <c r="B315">
        <v>109.25700000000001</v>
      </c>
      <c r="C315">
        <f t="shared" si="4"/>
        <v>1.89455921559</v>
      </c>
    </row>
    <row r="316" spans="1:3" x14ac:dyDescent="0.2">
      <c r="A316">
        <v>2.60345</v>
      </c>
      <c r="B316">
        <v>109.11799999999999</v>
      </c>
      <c r="C316">
        <f t="shared" si="4"/>
        <v>1.8948585868400001</v>
      </c>
    </row>
    <row r="317" spans="1:3" x14ac:dyDescent="0.2">
      <c r="A317">
        <v>2.6120700000000001</v>
      </c>
      <c r="B317">
        <v>108.98</v>
      </c>
      <c r="C317">
        <f t="shared" si="4"/>
        <v>1.8951523640000003</v>
      </c>
    </row>
    <row r="318" spans="1:3" x14ac:dyDescent="0.2">
      <c r="A318">
        <v>2.6206900000000002</v>
      </c>
      <c r="B318">
        <v>108.614</v>
      </c>
      <c r="C318">
        <f t="shared" si="4"/>
        <v>1.8959149103600001</v>
      </c>
    </row>
    <row r="319" spans="1:3" x14ac:dyDescent="0.2">
      <c r="A319">
        <v>2.6293099999999998</v>
      </c>
      <c r="B319">
        <v>108.48699999999999</v>
      </c>
      <c r="C319">
        <f t="shared" si="4"/>
        <v>1.8961738747900001</v>
      </c>
    </row>
    <row r="320" spans="1:3" x14ac:dyDescent="0.2">
      <c r="A320">
        <v>2.6379299999999999</v>
      </c>
      <c r="B320">
        <v>108.485</v>
      </c>
      <c r="C320">
        <f t="shared" si="4"/>
        <v>1.8961779297499999</v>
      </c>
    </row>
    <row r="321" spans="1:3" x14ac:dyDescent="0.2">
      <c r="A321">
        <v>2.64655</v>
      </c>
      <c r="B321">
        <v>108.014</v>
      </c>
      <c r="C321">
        <f t="shared" si="4"/>
        <v>1.8971128223600002</v>
      </c>
    </row>
    <row r="322" spans="1:3" x14ac:dyDescent="0.2">
      <c r="A322">
        <v>2.65517</v>
      </c>
      <c r="B322">
        <v>108.014</v>
      </c>
      <c r="C322">
        <f t="shared" si="4"/>
        <v>1.8971128223600002</v>
      </c>
    </row>
    <row r="323" spans="1:3" x14ac:dyDescent="0.2">
      <c r="A323">
        <v>2.6637900000000001</v>
      </c>
      <c r="B323">
        <v>107.56699999999999</v>
      </c>
      <c r="C323">
        <f t="shared" si="4"/>
        <v>1.8979631459900002</v>
      </c>
    </row>
    <row r="324" spans="1:3" x14ac:dyDescent="0.2">
      <c r="A324">
        <v>2.6724100000000002</v>
      </c>
      <c r="B324">
        <v>107.16500000000001</v>
      </c>
      <c r="C324">
        <f t="shared" si="4"/>
        <v>1.89869714975</v>
      </c>
    </row>
    <row r="325" spans="1:3" x14ac:dyDescent="0.2">
      <c r="A325">
        <v>2.6810299999999998</v>
      </c>
      <c r="B325">
        <v>107.149</v>
      </c>
      <c r="C325">
        <f t="shared" si="4"/>
        <v>1.89872576191</v>
      </c>
    </row>
    <row r="326" spans="1:3" x14ac:dyDescent="0.2">
      <c r="A326">
        <v>2.6896599999999999</v>
      </c>
      <c r="B326">
        <v>107.024</v>
      </c>
      <c r="C326">
        <f t="shared" si="4"/>
        <v>1.8989477081599999</v>
      </c>
    </row>
    <row r="327" spans="1:3" x14ac:dyDescent="0.2">
      <c r="A327">
        <v>2.69828</v>
      </c>
      <c r="B327">
        <v>106.746</v>
      </c>
      <c r="C327">
        <f t="shared" si="4"/>
        <v>1.8994312335600001</v>
      </c>
    </row>
    <row r="328" spans="1:3" x14ac:dyDescent="0.2">
      <c r="A328">
        <v>2.7069000000000001</v>
      </c>
      <c r="B328">
        <v>106.72</v>
      </c>
      <c r="C328">
        <f t="shared" si="4"/>
        <v>1.8994757440000001</v>
      </c>
    </row>
    <row r="329" spans="1:3" x14ac:dyDescent="0.2">
      <c r="A329">
        <v>2.7155200000000002</v>
      </c>
      <c r="B329">
        <v>106.663</v>
      </c>
      <c r="C329">
        <f t="shared" si="4"/>
        <v>1.8995728987900002</v>
      </c>
    </row>
    <row r="330" spans="1:3" x14ac:dyDescent="0.2">
      <c r="A330">
        <v>2.7241399999999998</v>
      </c>
      <c r="B330">
        <v>106.208</v>
      </c>
      <c r="C330">
        <f t="shared" si="4"/>
        <v>1.90032746624</v>
      </c>
    </row>
    <row r="331" spans="1:3" x14ac:dyDescent="0.2">
      <c r="A331">
        <v>2.7327599999999999</v>
      </c>
      <c r="B331">
        <v>105.843</v>
      </c>
      <c r="C331">
        <f t="shared" si="4"/>
        <v>1.90090584159</v>
      </c>
    </row>
    <row r="332" spans="1:3" x14ac:dyDescent="0.2">
      <c r="A332">
        <v>2.7413799999999999</v>
      </c>
      <c r="B332">
        <v>105.676</v>
      </c>
      <c r="C332">
        <f t="shared" si="4"/>
        <v>1.90116247216</v>
      </c>
    </row>
    <row r="333" spans="1:3" x14ac:dyDescent="0.2">
      <c r="A333">
        <v>2.75</v>
      </c>
      <c r="B333">
        <v>105.71599999999999</v>
      </c>
      <c r="C333">
        <f t="shared" si="4"/>
        <v>1.9011014609600001</v>
      </c>
    </row>
    <row r="334" spans="1:3" x14ac:dyDescent="0.2">
      <c r="A334">
        <v>2.7586200000000001</v>
      </c>
      <c r="B334">
        <v>105.607</v>
      </c>
      <c r="C334">
        <f t="shared" si="4"/>
        <v>1.90126703959</v>
      </c>
    </row>
    <row r="335" spans="1:3" x14ac:dyDescent="0.2">
      <c r="A335">
        <v>2.7672400000000001</v>
      </c>
      <c r="B335">
        <v>105.071</v>
      </c>
      <c r="C335">
        <f t="shared" ref="C335:C398" si="5">(-0.00009*(B335^2))+0.0175*B335+1.0569</f>
        <v>1.9020501463100001</v>
      </c>
    </row>
    <row r="336" spans="1:3" x14ac:dyDescent="0.2">
      <c r="A336">
        <v>2.7758600000000002</v>
      </c>
      <c r="B336">
        <v>104.82899999999999</v>
      </c>
      <c r="C336">
        <f t="shared" si="5"/>
        <v>1.90238676831</v>
      </c>
    </row>
    <row r="337" spans="1:3" x14ac:dyDescent="0.2">
      <c r="A337">
        <v>2.7844799999999998</v>
      </c>
      <c r="B337">
        <v>105.104</v>
      </c>
      <c r="C337">
        <f t="shared" si="5"/>
        <v>1.9020034265599999</v>
      </c>
    </row>
    <row r="338" spans="1:3" x14ac:dyDescent="0.2">
      <c r="A338">
        <v>2.7930999999999999</v>
      </c>
      <c r="B338">
        <v>105.139</v>
      </c>
      <c r="C338">
        <f t="shared" si="5"/>
        <v>1.9019536611100003</v>
      </c>
    </row>
    <row r="339" spans="1:3" x14ac:dyDescent="0.2">
      <c r="A339">
        <v>2.80172</v>
      </c>
      <c r="B339">
        <v>104.759</v>
      </c>
      <c r="C339">
        <f t="shared" si="5"/>
        <v>1.9024821727100001</v>
      </c>
    </row>
    <row r="340" spans="1:3" x14ac:dyDescent="0.2">
      <c r="A340">
        <v>2.8103400000000001</v>
      </c>
      <c r="B340">
        <v>104.527</v>
      </c>
      <c r="C340">
        <f t="shared" si="5"/>
        <v>1.9027920643900003</v>
      </c>
    </row>
    <row r="341" spans="1:3" x14ac:dyDescent="0.2">
      <c r="A341">
        <v>2.8189700000000002</v>
      </c>
      <c r="B341">
        <v>104.309</v>
      </c>
      <c r="C341">
        <f t="shared" si="5"/>
        <v>1.9030744267099999</v>
      </c>
    </row>
    <row r="342" spans="1:3" x14ac:dyDescent="0.2">
      <c r="A342">
        <v>2.8275899999999998</v>
      </c>
      <c r="B342">
        <v>104.13500000000001</v>
      </c>
      <c r="C342">
        <f t="shared" si="5"/>
        <v>1.9032936597500001</v>
      </c>
    </row>
    <row r="343" spans="1:3" x14ac:dyDescent="0.2">
      <c r="A343">
        <v>2.8362099999999999</v>
      </c>
      <c r="B343">
        <v>104.21599999999999</v>
      </c>
      <c r="C343">
        <f t="shared" si="5"/>
        <v>1.9031922809600001</v>
      </c>
    </row>
    <row r="344" spans="1:3" x14ac:dyDescent="0.2">
      <c r="A344">
        <v>2.84483</v>
      </c>
      <c r="B344">
        <v>103.985</v>
      </c>
      <c r="C344">
        <f t="shared" si="5"/>
        <v>1.9034782797500003</v>
      </c>
    </row>
    <row r="345" spans="1:3" x14ac:dyDescent="0.2">
      <c r="A345">
        <v>2.85345</v>
      </c>
      <c r="B345">
        <v>103.642</v>
      </c>
      <c r="C345">
        <f t="shared" si="5"/>
        <v>1.90388522524</v>
      </c>
    </row>
    <row r="346" spans="1:3" x14ac:dyDescent="0.2">
      <c r="A346">
        <v>2.8620700000000001</v>
      </c>
      <c r="B346">
        <v>103.624</v>
      </c>
      <c r="C346">
        <f t="shared" si="5"/>
        <v>1.90390599616</v>
      </c>
    </row>
    <row r="347" spans="1:3" x14ac:dyDescent="0.2">
      <c r="A347">
        <v>2.8706900000000002</v>
      </c>
      <c r="B347">
        <v>103.262</v>
      </c>
      <c r="C347">
        <f t="shared" si="5"/>
        <v>1.9043113420400002</v>
      </c>
    </row>
    <row r="348" spans="1:3" x14ac:dyDescent="0.2">
      <c r="A348">
        <v>2.8793099999999998</v>
      </c>
      <c r="B348">
        <v>102.892</v>
      </c>
      <c r="C348">
        <f t="shared" si="5"/>
        <v>1.9047012702399999</v>
      </c>
    </row>
    <row r="349" spans="1:3" x14ac:dyDescent="0.2">
      <c r="A349">
        <v>2.8879299999999999</v>
      </c>
      <c r="B349">
        <v>102.69</v>
      </c>
      <c r="C349">
        <f t="shared" si="5"/>
        <v>1.904903751</v>
      </c>
    </row>
    <row r="350" spans="1:3" x14ac:dyDescent="0.2">
      <c r="A350">
        <v>2.89655</v>
      </c>
      <c r="B350">
        <v>102.584</v>
      </c>
      <c r="C350">
        <f t="shared" si="5"/>
        <v>1.9050070649599999</v>
      </c>
    </row>
    <row r="351" spans="1:3" x14ac:dyDescent="0.2">
      <c r="A351">
        <v>2.90517</v>
      </c>
      <c r="B351">
        <v>102.19499999999999</v>
      </c>
      <c r="C351">
        <f t="shared" si="5"/>
        <v>1.90536887775</v>
      </c>
    </row>
    <row r="352" spans="1:3" x14ac:dyDescent="0.2">
      <c r="A352">
        <v>2.9137900000000001</v>
      </c>
      <c r="B352">
        <v>102.06699999999999</v>
      </c>
      <c r="C352">
        <f t="shared" si="5"/>
        <v>1.9054819759899999</v>
      </c>
    </row>
    <row r="353" spans="1:3" x14ac:dyDescent="0.2">
      <c r="A353">
        <v>2.9224100000000002</v>
      </c>
      <c r="B353">
        <v>102.13800000000001</v>
      </c>
      <c r="C353">
        <f t="shared" si="5"/>
        <v>1.9054196060400002</v>
      </c>
    </row>
    <row r="354" spans="1:3" x14ac:dyDescent="0.2">
      <c r="A354">
        <v>2.9310299999999998</v>
      </c>
      <c r="B354">
        <v>102.035</v>
      </c>
      <c r="C354">
        <f t="shared" si="5"/>
        <v>1.90550978975</v>
      </c>
    </row>
    <row r="355" spans="1:3" x14ac:dyDescent="0.2">
      <c r="A355">
        <v>2.9396599999999999</v>
      </c>
      <c r="B355">
        <v>102.011</v>
      </c>
      <c r="C355">
        <f t="shared" si="5"/>
        <v>1.90553052911</v>
      </c>
    </row>
    <row r="356" spans="1:3" x14ac:dyDescent="0.2">
      <c r="A356">
        <v>2.94828</v>
      </c>
      <c r="B356">
        <v>101.99299999999999</v>
      </c>
      <c r="C356">
        <f t="shared" si="5"/>
        <v>1.9055460155900001</v>
      </c>
    </row>
    <row r="357" spans="1:3" x14ac:dyDescent="0.2">
      <c r="A357">
        <v>2.9569000000000001</v>
      </c>
      <c r="B357">
        <v>101.917</v>
      </c>
      <c r="C357">
        <f t="shared" si="5"/>
        <v>1.9056107599900001</v>
      </c>
    </row>
    <row r="358" spans="1:3" x14ac:dyDescent="0.2">
      <c r="A358">
        <v>2.9655200000000002</v>
      </c>
      <c r="B358">
        <v>101.92700000000001</v>
      </c>
      <c r="C358">
        <f t="shared" si="5"/>
        <v>1.90560230039</v>
      </c>
    </row>
    <row r="359" spans="1:3" x14ac:dyDescent="0.2">
      <c r="A359">
        <v>2.9741399999999998</v>
      </c>
      <c r="B359">
        <v>101.61</v>
      </c>
      <c r="C359">
        <f t="shared" si="5"/>
        <v>1.905861711</v>
      </c>
    </row>
    <row r="360" spans="1:3" x14ac:dyDescent="0.2">
      <c r="A360">
        <v>2.9827599999999999</v>
      </c>
      <c r="B360">
        <v>102.005</v>
      </c>
      <c r="C360">
        <f t="shared" si="5"/>
        <v>1.90553569775</v>
      </c>
    </row>
    <row r="361" spans="1:3" x14ac:dyDescent="0.2">
      <c r="A361">
        <v>2.9913799999999999</v>
      </c>
      <c r="B361">
        <v>101.803</v>
      </c>
      <c r="C361">
        <f t="shared" si="5"/>
        <v>1.9057059271900001</v>
      </c>
    </row>
    <row r="362" spans="1:3" x14ac:dyDescent="0.2">
      <c r="A362">
        <v>3</v>
      </c>
      <c r="B362">
        <v>101.41</v>
      </c>
      <c r="C362">
        <f t="shared" si="5"/>
        <v>1.906016071</v>
      </c>
    </row>
    <row r="363" spans="1:3" x14ac:dyDescent="0.2">
      <c r="A363">
        <v>3.0086200000000001</v>
      </c>
      <c r="B363">
        <v>101.137</v>
      </c>
      <c r="C363">
        <f t="shared" si="5"/>
        <v>1.90621515079</v>
      </c>
    </row>
    <row r="364" spans="1:3" x14ac:dyDescent="0.2">
      <c r="A364">
        <v>3.0172400000000001</v>
      </c>
      <c r="B364">
        <v>101.197</v>
      </c>
      <c r="C364">
        <f t="shared" si="5"/>
        <v>1.9061725471899997</v>
      </c>
    </row>
    <row r="365" spans="1:3" x14ac:dyDescent="0.2">
      <c r="A365">
        <v>3.0258600000000002</v>
      </c>
      <c r="B365">
        <v>101.32</v>
      </c>
      <c r="C365">
        <f t="shared" si="5"/>
        <v>1.9060831840000001</v>
      </c>
    </row>
    <row r="366" spans="1:3" x14ac:dyDescent="0.2">
      <c r="A366">
        <v>3.0344799999999998</v>
      </c>
      <c r="B366">
        <v>101.146</v>
      </c>
      <c r="C366">
        <f t="shared" si="5"/>
        <v>1.9062088015600001</v>
      </c>
    </row>
    <row r="367" spans="1:3" x14ac:dyDescent="0.2">
      <c r="A367">
        <v>3.0430999999999999</v>
      </c>
      <c r="B367">
        <v>100.797</v>
      </c>
      <c r="C367">
        <f t="shared" si="5"/>
        <v>1.9064443311900001</v>
      </c>
    </row>
    <row r="368" spans="1:3" x14ac:dyDescent="0.2">
      <c r="A368">
        <v>3.05172</v>
      </c>
      <c r="B368">
        <v>100.622</v>
      </c>
      <c r="C368">
        <f t="shared" si="5"/>
        <v>1.9065541804400001</v>
      </c>
    </row>
    <row r="369" spans="1:3" x14ac:dyDescent="0.2">
      <c r="A369">
        <v>3.0603400000000001</v>
      </c>
      <c r="B369">
        <v>100.581</v>
      </c>
      <c r="C369">
        <f t="shared" si="5"/>
        <v>1.9065791195100001</v>
      </c>
    </row>
    <row r="370" spans="1:3" x14ac:dyDescent="0.2">
      <c r="A370">
        <v>3.0689700000000002</v>
      </c>
      <c r="B370">
        <v>100.47199999999999</v>
      </c>
      <c r="C370">
        <f t="shared" si="5"/>
        <v>1.9066439494400003</v>
      </c>
    </row>
    <row r="371" spans="1:3" x14ac:dyDescent="0.2">
      <c r="A371">
        <v>3.0775899999999998</v>
      </c>
      <c r="B371">
        <v>100.238</v>
      </c>
      <c r="C371">
        <f t="shared" si="5"/>
        <v>1.9067759020400001</v>
      </c>
    </row>
    <row r="372" spans="1:3" x14ac:dyDescent="0.2">
      <c r="A372">
        <v>3.0862099999999999</v>
      </c>
      <c r="B372">
        <v>100.086</v>
      </c>
      <c r="C372">
        <f t="shared" si="5"/>
        <v>1.90685633436</v>
      </c>
    </row>
    <row r="373" spans="1:3" x14ac:dyDescent="0.2">
      <c r="A373">
        <v>3.09483</v>
      </c>
      <c r="B373">
        <v>100.008</v>
      </c>
      <c r="C373">
        <f t="shared" si="5"/>
        <v>1.9068959942400001</v>
      </c>
    </row>
    <row r="374" spans="1:3" x14ac:dyDescent="0.2">
      <c r="A374">
        <v>3.10345</v>
      </c>
      <c r="B374">
        <v>99.822999999999993</v>
      </c>
      <c r="C374">
        <f t="shared" si="5"/>
        <v>1.90698568039</v>
      </c>
    </row>
    <row r="375" spans="1:3" x14ac:dyDescent="0.2">
      <c r="A375">
        <v>3.1120700000000001</v>
      </c>
      <c r="B375">
        <v>99.754000000000005</v>
      </c>
      <c r="C375">
        <f t="shared" si="5"/>
        <v>1.90701755356</v>
      </c>
    </row>
    <row r="376" spans="1:3" x14ac:dyDescent="0.2">
      <c r="A376">
        <v>3.1206900000000002</v>
      </c>
      <c r="B376">
        <v>99.477000000000004</v>
      </c>
      <c r="C376">
        <f t="shared" si="5"/>
        <v>1.9071368823900001</v>
      </c>
    </row>
    <row r="377" spans="1:3" x14ac:dyDescent="0.2">
      <c r="A377">
        <v>3.1293099999999998</v>
      </c>
      <c r="B377">
        <v>99.47</v>
      </c>
      <c r="C377">
        <f t="shared" si="5"/>
        <v>1.9071397189999999</v>
      </c>
    </row>
    <row r="378" spans="1:3" x14ac:dyDescent="0.2">
      <c r="A378">
        <v>3.1379299999999999</v>
      </c>
      <c r="B378">
        <v>99.277000000000001</v>
      </c>
      <c r="C378">
        <f t="shared" si="5"/>
        <v>1.90721445439</v>
      </c>
    </row>
    <row r="379" spans="1:3" x14ac:dyDescent="0.2">
      <c r="A379">
        <v>3.14655</v>
      </c>
      <c r="B379">
        <v>99.212999999999994</v>
      </c>
      <c r="C379">
        <f t="shared" si="5"/>
        <v>1.9072377567900001</v>
      </c>
    </row>
    <row r="380" spans="1:3" x14ac:dyDescent="0.2">
      <c r="A380">
        <v>3.15517</v>
      </c>
      <c r="B380">
        <v>99.087000000000003</v>
      </c>
      <c r="C380">
        <f t="shared" si="5"/>
        <v>1.9072814787900001</v>
      </c>
    </row>
    <row r="381" spans="1:3" x14ac:dyDescent="0.2">
      <c r="A381">
        <v>3.1637900000000001</v>
      </c>
      <c r="B381">
        <v>99.058000000000007</v>
      </c>
      <c r="C381">
        <f t="shared" si="5"/>
        <v>1.9072911372400001</v>
      </c>
    </row>
    <row r="382" spans="1:3" x14ac:dyDescent="0.2">
      <c r="A382">
        <v>3.1724100000000002</v>
      </c>
      <c r="B382">
        <v>98.867999999999995</v>
      </c>
      <c r="C382">
        <f t="shared" si="5"/>
        <v>1.9073506718400002</v>
      </c>
    </row>
    <row r="383" spans="1:3" x14ac:dyDescent="0.2">
      <c r="A383">
        <v>3.1810299999999998</v>
      </c>
      <c r="B383">
        <v>99.08</v>
      </c>
      <c r="C383">
        <f t="shared" si="5"/>
        <v>1.9072838240000001</v>
      </c>
    </row>
    <row r="384" spans="1:3" x14ac:dyDescent="0.2">
      <c r="A384">
        <v>3.1896599999999999</v>
      </c>
      <c r="B384">
        <v>98.974000000000004</v>
      </c>
      <c r="C384">
        <f t="shared" si="5"/>
        <v>1.9073182591600002</v>
      </c>
    </row>
    <row r="385" spans="1:3" x14ac:dyDescent="0.2">
      <c r="A385">
        <v>3.19828</v>
      </c>
      <c r="B385">
        <v>98.656999999999996</v>
      </c>
      <c r="C385">
        <f t="shared" si="5"/>
        <v>1.9074091715899999</v>
      </c>
    </row>
    <row r="386" spans="1:3" x14ac:dyDescent="0.2">
      <c r="A386">
        <v>3.2069000000000001</v>
      </c>
      <c r="B386">
        <v>98.36</v>
      </c>
      <c r="C386">
        <f t="shared" si="5"/>
        <v>1.9074779359999998</v>
      </c>
    </row>
    <row r="387" spans="1:3" x14ac:dyDescent="0.2">
      <c r="A387">
        <v>3.2155200000000002</v>
      </c>
      <c r="B387">
        <v>98.222999999999999</v>
      </c>
      <c r="C387">
        <f t="shared" si="5"/>
        <v>1.9075043043900002</v>
      </c>
    </row>
    <row r="388" spans="1:3" x14ac:dyDescent="0.2">
      <c r="A388">
        <v>3.2241399999999998</v>
      </c>
      <c r="B388">
        <v>97.876999999999995</v>
      </c>
      <c r="C388">
        <f t="shared" si="5"/>
        <v>1.9075558583900001</v>
      </c>
    </row>
    <row r="389" spans="1:3" x14ac:dyDescent="0.2">
      <c r="A389">
        <v>3.2327599999999999</v>
      </c>
      <c r="B389">
        <v>97.695999999999998</v>
      </c>
      <c r="C389">
        <f t="shared" si="5"/>
        <v>1.90757424256</v>
      </c>
    </row>
    <row r="390" spans="1:3" x14ac:dyDescent="0.2">
      <c r="A390">
        <v>3.2413799999999999</v>
      </c>
      <c r="B390">
        <v>97.793999999999997</v>
      </c>
      <c r="C390">
        <f t="shared" si="5"/>
        <v>1.9075650207599999</v>
      </c>
    </row>
    <row r="391" spans="1:3" x14ac:dyDescent="0.2">
      <c r="A391">
        <v>3.25</v>
      </c>
      <c r="B391">
        <v>97.41</v>
      </c>
      <c r="C391">
        <f t="shared" si="5"/>
        <v>1.907591271</v>
      </c>
    </row>
    <row r="392" spans="1:3" x14ac:dyDescent="0.2">
      <c r="A392">
        <v>3.2586200000000001</v>
      </c>
      <c r="B392">
        <v>97.343000000000004</v>
      </c>
      <c r="C392">
        <f t="shared" si="5"/>
        <v>1.9075931315900001</v>
      </c>
    </row>
    <row r="393" spans="1:3" x14ac:dyDescent="0.2">
      <c r="A393">
        <v>3.2672400000000001</v>
      </c>
      <c r="B393">
        <v>97.165000000000006</v>
      </c>
      <c r="C393">
        <f t="shared" si="5"/>
        <v>1.90759414975</v>
      </c>
    </row>
    <row r="394" spans="1:3" x14ac:dyDescent="0.2">
      <c r="A394">
        <v>3.2758600000000002</v>
      </c>
      <c r="B394">
        <v>97.254999999999995</v>
      </c>
      <c r="C394">
        <f t="shared" si="5"/>
        <v>1.9075943477499999</v>
      </c>
    </row>
    <row r="395" spans="1:3" x14ac:dyDescent="0.2">
      <c r="A395">
        <v>3.2844799999999998</v>
      </c>
      <c r="B395">
        <v>97.123000000000005</v>
      </c>
      <c r="C395">
        <f t="shared" si="5"/>
        <v>1.9075935583900001</v>
      </c>
    </row>
    <row r="396" spans="1:3" x14ac:dyDescent="0.2">
      <c r="A396">
        <v>3.2930999999999999</v>
      </c>
      <c r="B396">
        <v>97.150999999999996</v>
      </c>
      <c r="C396">
        <f t="shared" si="5"/>
        <v>1.9075939879100001</v>
      </c>
    </row>
    <row r="397" spans="1:3" x14ac:dyDescent="0.2">
      <c r="A397">
        <v>3.30172</v>
      </c>
      <c r="B397">
        <v>97.093999999999994</v>
      </c>
      <c r="C397">
        <f t="shared" si="5"/>
        <v>1.9075929647600001</v>
      </c>
    </row>
    <row r="398" spans="1:3" x14ac:dyDescent="0.2">
      <c r="A398">
        <v>3.3103400000000001</v>
      </c>
      <c r="B398">
        <v>96.558000000000007</v>
      </c>
      <c r="C398">
        <f t="shared" si="5"/>
        <v>1.9075547372399999</v>
      </c>
    </row>
    <row r="399" spans="1:3" x14ac:dyDescent="0.2">
      <c r="A399">
        <v>3.3189700000000002</v>
      </c>
      <c r="B399">
        <v>96.491</v>
      </c>
      <c r="C399">
        <f t="shared" ref="C399:C462" si="6">(-0.00009*(B399^2))+0.0175*B399+1.0569</f>
        <v>1.90754632271</v>
      </c>
    </row>
    <row r="400" spans="1:3" x14ac:dyDescent="0.2">
      <c r="A400">
        <v>3.3275899999999998</v>
      </c>
      <c r="B400">
        <v>96.391999999999996</v>
      </c>
      <c r="C400">
        <f t="shared" si="6"/>
        <v>1.90753241024</v>
      </c>
    </row>
    <row r="401" spans="1:3" x14ac:dyDescent="0.2">
      <c r="A401">
        <v>3.3362099999999999</v>
      </c>
      <c r="B401">
        <v>96.370999999999995</v>
      </c>
      <c r="C401">
        <f t="shared" si="6"/>
        <v>1.9075292323100002</v>
      </c>
    </row>
    <row r="402" spans="1:3" x14ac:dyDescent="0.2">
      <c r="A402">
        <v>3.34483</v>
      </c>
      <c r="B402">
        <v>96.191000000000003</v>
      </c>
      <c r="C402">
        <f t="shared" si="6"/>
        <v>1.90749873671</v>
      </c>
    </row>
    <row r="403" spans="1:3" x14ac:dyDescent="0.2">
      <c r="A403">
        <v>3.35345</v>
      </c>
      <c r="B403">
        <v>96.106999999999999</v>
      </c>
      <c r="C403">
        <f t="shared" si="6"/>
        <v>1.9074825095900001</v>
      </c>
    </row>
    <row r="404" spans="1:3" x14ac:dyDescent="0.2">
      <c r="A404">
        <v>3.3620700000000001</v>
      </c>
      <c r="B404">
        <v>95.861999999999995</v>
      </c>
      <c r="C404">
        <f t="shared" si="6"/>
        <v>1.90742792604</v>
      </c>
    </row>
    <row r="405" spans="1:3" x14ac:dyDescent="0.2">
      <c r="A405">
        <v>3.3706900000000002</v>
      </c>
      <c r="B405">
        <v>95.688000000000002</v>
      </c>
      <c r="C405">
        <f t="shared" si="6"/>
        <v>1.90738259904</v>
      </c>
    </row>
    <row r="406" spans="1:3" x14ac:dyDescent="0.2">
      <c r="A406">
        <v>3.3793099999999998</v>
      </c>
      <c r="B406">
        <v>95.474999999999994</v>
      </c>
      <c r="C406">
        <f t="shared" si="6"/>
        <v>1.9073196937499999</v>
      </c>
    </row>
    <row r="407" spans="1:3" x14ac:dyDescent="0.2">
      <c r="A407">
        <v>3.3879299999999999</v>
      </c>
      <c r="B407">
        <v>95.168000000000006</v>
      </c>
      <c r="C407">
        <f t="shared" si="6"/>
        <v>1.9072146598400002</v>
      </c>
    </row>
    <row r="408" spans="1:3" x14ac:dyDescent="0.2">
      <c r="A408">
        <v>3.39655</v>
      </c>
      <c r="B408">
        <v>95.177999999999997</v>
      </c>
      <c r="C408">
        <f t="shared" si="6"/>
        <v>1.90721834844</v>
      </c>
    </row>
    <row r="409" spans="1:3" x14ac:dyDescent="0.2">
      <c r="A409">
        <v>3.40517</v>
      </c>
      <c r="B409">
        <v>95.257000000000005</v>
      </c>
      <c r="C409">
        <f t="shared" si="6"/>
        <v>1.9072468555900002</v>
      </c>
    </row>
    <row r="410" spans="1:3" x14ac:dyDescent="0.2">
      <c r="A410">
        <v>3.4137900000000001</v>
      </c>
      <c r="B410">
        <v>95.135000000000005</v>
      </c>
      <c r="C410">
        <f t="shared" si="6"/>
        <v>1.9072023597500003</v>
      </c>
    </row>
    <row r="411" spans="1:3" x14ac:dyDescent="0.2">
      <c r="A411">
        <v>3.4224100000000002</v>
      </c>
      <c r="B411">
        <v>94.906000000000006</v>
      </c>
      <c r="C411">
        <f t="shared" si="6"/>
        <v>1.9071116047600001</v>
      </c>
    </row>
    <row r="412" spans="1:3" x14ac:dyDescent="0.2">
      <c r="A412">
        <v>3.4310299999999998</v>
      </c>
      <c r="B412">
        <v>94.683000000000007</v>
      </c>
      <c r="C412">
        <f t="shared" si="6"/>
        <v>1.9070141559900002</v>
      </c>
    </row>
    <row r="413" spans="1:3" x14ac:dyDescent="0.2">
      <c r="A413">
        <v>3.4396599999999999</v>
      </c>
      <c r="B413">
        <v>94.483000000000004</v>
      </c>
      <c r="C413">
        <f t="shared" si="6"/>
        <v>1.9069191439900002</v>
      </c>
    </row>
    <row r="414" spans="1:3" x14ac:dyDescent="0.2">
      <c r="A414">
        <v>3.44828</v>
      </c>
      <c r="B414">
        <v>94.206000000000003</v>
      </c>
      <c r="C414">
        <f t="shared" si="6"/>
        <v>1.9067756607600002</v>
      </c>
    </row>
    <row r="415" spans="1:3" x14ac:dyDescent="0.2">
      <c r="A415">
        <v>3.4569000000000001</v>
      </c>
      <c r="B415">
        <v>94.515000000000001</v>
      </c>
      <c r="C415">
        <f t="shared" si="6"/>
        <v>1.9069348297499999</v>
      </c>
    </row>
    <row r="416" spans="1:3" x14ac:dyDescent="0.2">
      <c r="A416">
        <v>3.4655200000000002</v>
      </c>
      <c r="B416">
        <v>94.06</v>
      </c>
      <c r="C416">
        <f t="shared" si="6"/>
        <v>1.9066944760000002</v>
      </c>
    </row>
    <row r="417" spans="1:3" x14ac:dyDescent="0.2">
      <c r="A417">
        <v>3.4741399999999998</v>
      </c>
      <c r="B417">
        <v>93.358000000000004</v>
      </c>
      <c r="C417">
        <f t="shared" si="6"/>
        <v>1.9062505452399998</v>
      </c>
    </row>
    <row r="418" spans="1:3" x14ac:dyDescent="0.2">
      <c r="A418">
        <v>3.4827599999999999</v>
      </c>
      <c r="B418">
        <v>93.239000000000004</v>
      </c>
      <c r="C418">
        <f t="shared" si="6"/>
        <v>1.9061664991099998</v>
      </c>
    </row>
    <row r="419" spans="1:3" x14ac:dyDescent="0.2">
      <c r="A419">
        <v>3.4913799999999999</v>
      </c>
      <c r="B419">
        <v>93.191999999999993</v>
      </c>
      <c r="C419">
        <f t="shared" si="6"/>
        <v>1.90613260224</v>
      </c>
    </row>
    <row r="420" spans="1:3" x14ac:dyDescent="0.2">
      <c r="A420">
        <v>3.5</v>
      </c>
      <c r="B420">
        <v>92.656999999999996</v>
      </c>
      <c r="C420">
        <f t="shared" si="6"/>
        <v>1.9057187315899999</v>
      </c>
    </row>
    <row r="421" spans="1:3" x14ac:dyDescent="0.2">
      <c r="A421">
        <v>3.5086200000000001</v>
      </c>
      <c r="B421">
        <v>92.893000000000001</v>
      </c>
      <c r="C421">
        <f t="shared" si="6"/>
        <v>1.90590764959</v>
      </c>
    </row>
    <row r="422" spans="1:3" x14ac:dyDescent="0.2">
      <c r="A422">
        <v>3.5172400000000001</v>
      </c>
      <c r="B422">
        <v>92.888000000000005</v>
      </c>
      <c r="C422">
        <f t="shared" si="6"/>
        <v>1.9059037510400001</v>
      </c>
    </row>
    <row r="423" spans="1:3" x14ac:dyDescent="0.2">
      <c r="A423">
        <v>3.5258600000000002</v>
      </c>
      <c r="B423">
        <v>92.847999999999999</v>
      </c>
      <c r="C423">
        <f t="shared" si="6"/>
        <v>1.9058724006400001</v>
      </c>
    </row>
    <row r="424" spans="1:3" x14ac:dyDescent="0.2">
      <c r="A424">
        <v>3.5344799999999998</v>
      </c>
      <c r="B424">
        <v>92.433999999999997</v>
      </c>
      <c r="C424">
        <f t="shared" si="6"/>
        <v>1.9055310079600001</v>
      </c>
    </row>
    <row r="425" spans="1:3" x14ac:dyDescent="0.2">
      <c r="A425">
        <v>3.5430999999999999</v>
      </c>
      <c r="B425">
        <v>92.298000000000002</v>
      </c>
      <c r="C425">
        <f t="shared" si="6"/>
        <v>1.90541212764</v>
      </c>
    </row>
    <row r="426" spans="1:3" x14ac:dyDescent="0.2">
      <c r="A426">
        <v>3.55172</v>
      </c>
      <c r="B426">
        <v>92.239000000000004</v>
      </c>
      <c r="C426">
        <f t="shared" si="6"/>
        <v>1.9053595191100001</v>
      </c>
    </row>
    <row r="427" spans="1:3" x14ac:dyDescent="0.2">
      <c r="A427">
        <v>3.5603400000000001</v>
      </c>
      <c r="B427">
        <v>91.704999999999998</v>
      </c>
      <c r="C427">
        <f t="shared" si="6"/>
        <v>1.9048548677500001</v>
      </c>
    </row>
    <row r="428" spans="1:3" x14ac:dyDescent="0.2">
      <c r="A428">
        <v>3.5689700000000002</v>
      </c>
      <c r="B428">
        <v>91.091999999999999</v>
      </c>
      <c r="C428">
        <f t="shared" si="6"/>
        <v>1.9042122782400002</v>
      </c>
    </row>
    <row r="429" spans="1:3" x14ac:dyDescent="0.2">
      <c r="A429">
        <v>3.5775899999999998</v>
      </c>
      <c r="B429">
        <v>91.120999999999995</v>
      </c>
      <c r="C429">
        <f t="shared" si="6"/>
        <v>1.9042442023100001</v>
      </c>
    </row>
    <row r="430" spans="1:3" x14ac:dyDescent="0.2">
      <c r="A430">
        <v>3.5862099999999999</v>
      </c>
      <c r="B430">
        <v>91.141000000000005</v>
      </c>
      <c r="C430">
        <f t="shared" si="6"/>
        <v>1.9042661307100002</v>
      </c>
    </row>
    <row r="431" spans="1:3" x14ac:dyDescent="0.2">
      <c r="A431">
        <v>3.59483</v>
      </c>
      <c r="B431">
        <v>90.918000000000006</v>
      </c>
      <c r="C431">
        <f t="shared" si="6"/>
        <v>1.9040175548399998</v>
      </c>
    </row>
    <row r="432" spans="1:3" x14ac:dyDescent="0.2">
      <c r="A432">
        <v>3.60345</v>
      </c>
      <c r="B432">
        <v>90.625</v>
      </c>
      <c r="C432">
        <f t="shared" si="6"/>
        <v>1.9036773437500001</v>
      </c>
    </row>
    <row r="433" spans="1:3" x14ac:dyDescent="0.2">
      <c r="A433">
        <v>3.6120700000000001</v>
      </c>
      <c r="B433">
        <v>90.513999999999996</v>
      </c>
      <c r="C433">
        <f t="shared" si="6"/>
        <v>1.90354442236</v>
      </c>
    </row>
    <row r="434" spans="1:3" x14ac:dyDescent="0.2">
      <c r="A434">
        <v>3.6206900000000002</v>
      </c>
      <c r="B434">
        <v>89.828999999999994</v>
      </c>
      <c r="C434">
        <f t="shared" si="6"/>
        <v>1.90267506831</v>
      </c>
    </row>
    <row r="435" spans="1:3" x14ac:dyDescent="0.2">
      <c r="A435">
        <v>3.6293099999999998</v>
      </c>
      <c r="B435">
        <v>89.68</v>
      </c>
      <c r="C435">
        <f t="shared" si="6"/>
        <v>1.9024747840000003</v>
      </c>
    </row>
    <row r="436" spans="1:3" x14ac:dyDescent="0.2">
      <c r="A436">
        <v>3.6379299999999999</v>
      </c>
      <c r="B436">
        <v>89.325999999999993</v>
      </c>
      <c r="C436">
        <f t="shared" si="6"/>
        <v>1.9019829151600001</v>
      </c>
    </row>
    <row r="437" spans="1:3" x14ac:dyDescent="0.2">
      <c r="A437">
        <v>3.64655</v>
      </c>
      <c r="B437">
        <v>89.353999999999999</v>
      </c>
      <c r="C437">
        <f t="shared" si="6"/>
        <v>1.9020226415599999</v>
      </c>
    </row>
    <row r="438" spans="1:3" x14ac:dyDescent="0.2">
      <c r="A438">
        <v>3.65517</v>
      </c>
      <c r="B438">
        <v>89.265000000000001</v>
      </c>
      <c r="C438">
        <f t="shared" si="6"/>
        <v>1.9018958797500001</v>
      </c>
    </row>
    <row r="439" spans="1:3" x14ac:dyDescent="0.2">
      <c r="A439">
        <v>3.6637900000000001</v>
      </c>
      <c r="B439">
        <v>88.891999999999996</v>
      </c>
      <c r="C439">
        <f t="shared" si="6"/>
        <v>1.90134911024</v>
      </c>
    </row>
    <row r="440" spans="1:3" x14ac:dyDescent="0.2">
      <c r="A440">
        <v>3.6724100000000002</v>
      </c>
      <c r="B440">
        <v>88.644000000000005</v>
      </c>
      <c r="C440">
        <f t="shared" si="6"/>
        <v>1.90097171376</v>
      </c>
    </row>
    <row r="441" spans="1:3" x14ac:dyDescent="0.2">
      <c r="A441">
        <v>3.6810299999999998</v>
      </c>
      <c r="B441">
        <v>88.789000000000001</v>
      </c>
      <c r="C441">
        <f t="shared" si="6"/>
        <v>1.9011937131100001</v>
      </c>
    </row>
    <row r="442" spans="1:3" x14ac:dyDescent="0.2">
      <c r="A442">
        <v>3.6896599999999999</v>
      </c>
      <c r="B442">
        <v>88.331999999999994</v>
      </c>
      <c r="C442">
        <f t="shared" si="6"/>
        <v>1.9004811998400002</v>
      </c>
    </row>
    <row r="443" spans="1:3" x14ac:dyDescent="0.2">
      <c r="A443">
        <v>3.69828</v>
      </c>
      <c r="B443">
        <v>88.180999999999997</v>
      </c>
      <c r="C443">
        <f t="shared" si="6"/>
        <v>1.9002375115099999</v>
      </c>
    </row>
    <row r="444" spans="1:3" x14ac:dyDescent="0.2">
      <c r="A444">
        <v>3.7069000000000001</v>
      </c>
      <c r="B444">
        <v>88.099000000000004</v>
      </c>
      <c r="C444">
        <f t="shared" si="6"/>
        <v>1.90010345791</v>
      </c>
    </row>
    <row r="445" spans="1:3" x14ac:dyDescent="0.2">
      <c r="A445">
        <v>3.7155200000000002</v>
      </c>
      <c r="B445">
        <v>87.850999999999999</v>
      </c>
      <c r="C445">
        <f t="shared" si="6"/>
        <v>1.8996906619100002</v>
      </c>
    </row>
    <row r="446" spans="1:3" x14ac:dyDescent="0.2">
      <c r="A446">
        <v>3.7241399999999998</v>
      </c>
      <c r="B446">
        <v>87.88</v>
      </c>
      <c r="C446">
        <f t="shared" si="6"/>
        <v>1.899739504</v>
      </c>
    </row>
    <row r="447" spans="1:3" x14ac:dyDescent="0.2">
      <c r="A447">
        <v>3.7327599999999999</v>
      </c>
      <c r="B447">
        <v>87.471000000000004</v>
      </c>
      <c r="C447">
        <f t="shared" si="6"/>
        <v>1.89903667431</v>
      </c>
    </row>
    <row r="448" spans="1:3" x14ac:dyDescent="0.2">
      <c r="A448">
        <v>3.7413799999999999</v>
      </c>
      <c r="B448">
        <v>87.227000000000004</v>
      </c>
      <c r="C448">
        <f t="shared" si="6"/>
        <v>1.89860304239</v>
      </c>
    </row>
    <row r="449" spans="1:3" x14ac:dyDescent="0.2">
      <c r="A449">
        <v>3.75</v>
      </c>
      <c r="B449">
        <v>87.114999999999995</v>
      </c>
      <c r="C449">
        <f t="shared" si="6"/>
        <v>1.8984004097500002</v>
      </c>
    </row>
    <row r="450" spans="1:3" x14ac:dyDescent="0.2">
      <c r="A450">
        <v>3.7586200000000001</v>
      </c>
      <c r="B450">
        <v>86.878</v>
      </c>
      <c r="C450">
        <f t="shared" si="6"/>
        <v>1.89796418044</v>
      </c>
    </row>
    <row r="451" spans="1:3" x14ac:dyDescent="0.2">
      <c r="A451">
        <v>3.7672400000000001</v>
      </c>
      <c r="B451">
        <v>86.602000000000004</v>
      </c>
      <c r="C451">
        <f t="shared" si="6"/>
        <v>1.8974434236400002</v>
      </c>
    </row>
    <row r="452" spans="1:3" x14ac:dyDescent="0.2">
      <c r="A452">
        <v>3.7758600000000002</v>
      </c>
      <c r="B452">
        <v>86.567999999999998</v>
      </c>
      <c r="C452">
        <f t="shared" si="6"/>
        <v>1.8973783238400002</v>
      </c>
    </row>
    <row r="453" spans="1:3" x14ac:dyDescent="0.2">
      <c r="A453">
        <v>3.7844799999999998</v>
      </c>
      <c r="B453">
        <v>86.364000000000004</v>
      </c>
      <c r="C453">
        <f t="shared" si="6"/>
        <v>1.8969833553600002</v>
      </c>
    </row>
    <row r="454" spans="1:3" x14ac:dyDescent="0.2">
      <c r="A454">
        <v>3.7930999999999999</v>
      </c>
      <c r="B454">
        <v>85.89</v>
      </c>
      <c r="C454">
        <f t="shared" si="6"/>
        <v>1.896036711</v>
      </c>
    </row>
    <row r="455" spans="1:3" x14ac:dyDescent="0.2">
      <c r="A455">
        <v>3.80172</v>
      </c>
      <c r="B455">
        <v>85.325000000000003</v>
      </c>
      <c r="C455">
        <f t="shared" si="6"/>
        <v>1.89485549375</v>
      </c>
    </row>
    <row r="456" spans="1:3" x14ac:dyDescent="0.2">
      <c r="A456">
        <v>3.8103400000000001</v>
      </c>
      <c r="B456">
        <v>85.007000000000005</v>
      </c>
      <c r="C456">
        <f t="shared" si="6"/>
        <v>1.8941653955900002</v>
      </c>
    </row>
    <row r="457" spans="1:3" x14ac:dyDescent="0.2">
      <c r="A457">
        <v>3.8189700000000002</v>
      </c>
      <c r="B457">
        <v>84.811999999999998</v>
      </c>
      <c r="C457">
        <f t="shared" si="6"/>
        <v>1.89373321904</v>
      </c>
    </row>
    <row r="458" spans="1:3" x14ac:dyDescent="0.2">
      <c r="A458">
        <v>3.8275899999999998</v>
      </c>
      <c r="B458">
        <v>84.179000000000002</v>
      </c>
      <c r="C458">
        <f t="shared" si="6"/>
        <v>1.8922831363100001</v>
      </c>
    </row>
    <row r="459" spans="1:3" x14ac:dyDescent="0.2">
      <c r="A459">
        <v>3.8362099999999999</v>
      </c>
      <c r="B459">
        <v>83.870999999999995</v>
      </c>
      <c r="C459">
        <f t="shared" si="6"/>
        <v>1.8915514823099999</v>
      </c>
    </row>
    <row r="460" spans="1:3" x14ac:dyDescent="0.2">
      <c r="A460">
        <v>3.84483</v>
      </c>
      <c r="B460">
        <v>83.841999999999999</v>
      </c>
      <c r="C460">
        <f t="shared" si="6"/>
        <v>1.8914817132400001</v>
      </c>
    </row>
    <row r="461" spans="1:3" x14ac:dyDescent="0.2">
      <c r="A461">
        <v>3.85345</v>
      </c>
      <c r="B461">
        <v>83.594999999999999</v>
      </c>
      <c r="C461">
        <f t="shared" si="6"/>
        <v>1.89088133775</v>
      </c>
    </row>
    <row r="462" spans="1:3" x14ac:dyDescent="0.2">
      <c r="A462">
        <v>3.8620700000000001</v>
      </c>
      <c r="B462">
        <v>83.018000000000001</v>
      </c>
      <c r="C462">
        <f t="shared" si="6"/>
        <v>1.8894360508400001</v>
      </c>
    </row>
    <row r="463" spans="1:3" x14ac:dyDescent="0.2">
      <c r="A463">
        <v>3.8706900000000002</v>
      </c>
      <c r="B463">
        <v>82.548000000000002</v>
      </c>
      <c r="C463">
        <f t="shared" ref="C463:C526" si="7">(-0.00009*(B463^2))+0.0175*B463+1.0569</f>
        <v>1.88821449264</v>
      </c>
    </row>
    <row r="464" spans="1:3" x14ac:dyDescent="0.2">
      <c r="A464">
        <v>3.8793099999999998</v>
      </c>
      <c r="B464">
        <v>82.281000000000006</v>
      </c>
      <c r="C464">
        <f t="shared" si="7"/>
        <v>1.8875028335100001</v>
      </c>
    </row>
    <row r="465" spans="1:3" x14ac:dyDescent="0.2">
      <c r="A465">
        <v>3.8879299999999999</v>
      </c>
      <c r="B465">
        <v>81.578000000000003</v>
      </c>
      <c r="C465">
        <f t="shared" si="7"/>
        <v>1.88556769244</v>
      </c>
    </row>
    <row r="466" spans="1:3" x14ac:dyDescent="0.2">
      <c r="A466">
        <v>3.89655</v>
      </c>
      <c r="B466">
        <v>81.569999999999993</v>
      </c>
      <c r="C466">
        <f t="shared" si="7"/>
        <v>1.8855451590000001</v>
      </c>
    </row>
    <row r="467" spans="1:3" x14ac:dyDescent="0.2">
      <c r="A467">
        <v>3.90517</v>
      </c>
      <c r="B467">
        <v>80.867999999999995</v>
      </c>
      <c r="C467">
        <f t="shared" si="7"/>
        <v>1.88352299184</v>
      </c>
    </row>
    <row r="468" spans="1:3" x14ac:dyDescent="0.2">
      <c r="A468">
        <v>3.9137900000000001</v>
      </c>
      <c r="B468">
        <v>80.355000000000004</v>
      </c>
      <c r="C468">
        <f t="shared" si="7"/>
        <v>1.8819891577500001</v>
      </c>
    </row>
    <row r="469" spans="1:3" x14ac:dyDescent="0.2">
      <c r="A469">
        <v>3.9224100000000002</v>
      </c>
      <c r="B469">
        <v>79.826999999999998</v>
      </c>
      <c r="C469">
        <f t="shared" si="7"/>
        <v>1.88036100639</v>
      </c>
    </row>
    <row r="470" spans="1:3" x14ac:dyDescent="0.2">
      <c r="A470">
        <v>3.9310299999999998</v>
      </c>
      <c r="B470">
        <v>79.611000000000004</v>
      </c>
      <c r="C470">
        <f t="shared" si="7"/>
        <v>1.8796804811100003</v>
      </c>
    </row>
    <row r="471" spans="1:3" x14ac:dyDescent="0.2">
      <c r="A471">
        <v>3.9396599999999999</v>
      </c>
      <c r="B471">
        <v>79.256</v>
      </c>
      <c r="C471">
        <f t="shared" si="7"/>
        <v>1.8785437817599999</v>
      </c>
    </row>
    <row r="472" spans="1:3" x14ac:dyDescent="0.2">
      <c r="A472">
        <v>3.94828</v>
      </c>
      <c r="B472">
        <v>78.88</v>
      </c>
      <c r="C472">
        <f t="shared" si="7"/>
        <v>1.877315104</v>
      </c>
    </row>
    <row r="473" spans="1:3" x14ac:dyDescent="0.2">
      <c r="A473">
        <v>3.9569000000000001</v>
      </c>
      <c r="B473">
        <v>78.534000000000006</v>
      </c>
      <c r="C473">
        <f t="shared" si="7"/>
        <v>1.8761619759600001</v>
      </c>
    </row>
    <row r="474" spans="1:3" x14ac:dyDescent="0.2">
      <c r="A474">
        <v>3.9655200000000002</v>
      </c>
      <c r="B474">
        <v>77.957999999999998</v>
      </c>
      <c r="C474">
        <f t="shared" si="7"/>
        <v>1.87419452124</v>
      </c>
    </row>
    <row r="475" spans="1:3" x14ac:dyDescent="0.2">
      <c r="A475">
        <v>3.9741399999999998</v>
      </c>
      <c r="B475">
        <v>77.710999999999999</v>
      </c>
      <c r="C475">
        <f t="shared" si="7"/>
        <v>1.8733325431100001</v>
      </c>
    </row>
    <row r="476" spans="1:3" x14ac:dyDescent="0.2">
      <c r="A476">
        <v>3.9827599999999999</v>
      </c>
      <c r="B476">
        <v>77.412000000000006</v>
      </c>
      <c r="C476">
        <f t="shared" si="7"/>
        <v>1.87227440304</v>
      </c>
    </row>
    <row r="477" spans="1:3" x14ac:dyDescent="0.2">
      <c r="A477">
        <v>3.9913799999999999</v>
      </c>
      <c r="B477">
        <v>76.957999999999998</v>
      </c>
      <c r="C477">
        <f t="shared" si="7"/>
        <v>1.8706369612399998</v>
      </c>
    </row>
    <row r="478" spans="1:3" x14ac:dyDescent="0.2">
      <c r="A478">
        <v>4</v>
      </c>
      <c r="B478">
        <v>76.557000000000002</v>
      </c>
      <c r="C478">
        <f t="shared" si="7"/>
        <v>1.8691598175899999</v>
      </c>
    </row>
    <row r="479" spans="1:3" x14ac:dyDescent="0.2">
      <c r="A479">
        <v>4.0086199999999996</v>
      </c>
      <c r="B479">
        <v>76.147000000000006</v>
      </c>
      <c r="C479">
        <f t="shared" si="7"/>
        <v>1.8676195951900001</v>
      </c>
    </row>
    <row r="480" spans="1:3" x14ac:dyDescent="0.2">
      <c r="A480">
        <v>4.0172400000000001</v>
      </c>
      <c r="B480">
        <v>75.960999999999999</v>
      </c>
      <c r="C480">
        <f t="shared" si="7"/>
        <v>1.8669108831100001</v>
      </c>
    </row>
    <row r="481" spans="1:3" x14ac:dyDescent="0.2">
      <c r="A481">
        <v>4.0258599999999998</v>
      </c>
      <c r="B481">
        <v>75.488</v>
      </c>
      <c r="C481">
        <f t="shared" si="7"/>
        <v>1.8650805670400001</v>
      </c>
    </row>
    <row r="482" spans="1:3" x14ac:dyDescent="0.2">
      <c r="A482">
        <v>4.0344800000000003</v>
      </c>
      <c r="B482">
        <v>75.067999999999998</v>
      </c>
      <c r="C482">
        <f t="shared" si="7"/>
        <v>1.8634215838399999</v>
      </c>
    </row>
    <row r="483" spans="1:3" x14ac:dyDescent="0.2">
      <c r="A483">
        <v>4.0430999999999999</v>
      </c>
      <c r="B483">
        <v>74.046999999999997</v>
      </c>
      <c r="C483">
        <f t="shared" si="7"/>
        <v>1.8592562611900001</v>
      </c>
    </row>
    <row r="484" spans="1:3" x14ac:dyDescent="0.2">
      <c r="A484">
        <v>4.0517200000000004</v>
      </c>
      <c r="B484">
        <v>73.209000000000003</v>
      </c>
      <c r="C484">
        <f t="shared" si="7"/>
        <v>1.8556973087099999</v>
      </c>
    </row>
    <row r="485" spans="1:3" x14ac:dyDescent="0.2">
      <c r="A485">
        <v>4.0603400000000001</v>
      </c>
      <c r="B485">
        <v>72.808000000000007</v>
      </c>
      <c r="C485">
        <f t="shared" si="7"/>
        <v>1.85394956224</v>
      </c>
    </row>
    <row r="486" spans="1:3" x14ac:dyDescent="0.2">
      <c r="A486">
        <v>4.0689700000000002</v>
      </c>
      <c r="B486">
        <v>72.647000000000006</v>
      </c>
      <c r="C486">
        <f t="shared" si="7"/>
        <v>1.85323970519</v>
      </c>
    </row>
    <row r="487" spans="1:3" x14ac:dyDescent="0.2">
      <c r="A487">
        <v>4.0775899999999998</v>
      </c>
      <c r="B487">
        <v>72.644000000000005</v>
      </c>
      <c r="C487">
        <f t="shared" si="7"/>
        <v>1.85322643376</v>
      </c>
    </row>
    <row r="488" spans="1:3" x14ac:dyDescent="0.2">
      <c r="A488">
        <v>4.0862100000000003</v>
      </c>
      <c r="B488">
        <v>72.572000000000003</v>
      </c>
      <c r="C488">
        <f t="shared" si="7"/>
        <v>1.85290743344</v>
      </c>
    </row>
    <row r="489" spans="1:3" x14ac:dyDescent="0.2">
      <c r="A489">
        <v>4.09483</v>
      </c>
      <c r="B489">
        <v>72.174000000000007</v>
      </c>
      <c r="C489">
        <f t="shared" si="7"/>
        <v>1.8511272351600001</v>
      </c>
    </row>
    <row r="490" spans="1:3" x14ac:dyDescent="0.2">
      <c r="A490">
        <v>4.1034499999999996</v>
      </c>
      <c r="B490">
        <v>72.043000000000006</v>
      </c>
      <c r="C490">
        <f t="shared" si="7"/>
        <v>1.85053505359</v>
      </c>
    </row>
    <row r="491" spans="1:3" x14ac:dyDescent="0.2">
      <c r="A491">
        <v>4.1120700000000001</v>
      </c>
      <c r="B491">
        <v>71.635000000000005</v>
      </c>
      <c r="C491">
        <f t="shared" si="7"/>
        <v>1.84867090975</v>
      </c>
    </row>
    <row r="492" spans="1:3" x14ac:dyDescent="0.2">
      <c r="A492">
        <v>4.1206899999999997</v>
      </c>
      <c r="B492">
        <v>70.727000000000004</v>
      </c>
      <c r="C492">
        <f t="shared" si="7"/>
        <v>1.8444147323900002</v>
      </c>
    </row>
    <row r="493" spans="1:3" x14ac:dyDescent="0.2">
      <c r="A493">
        <v>4.1293100000000003</v>
      </c>
      <c r="B493">
        <v>69.543999999999997</v>
      </c>
      <c r="C493">
        <f t="shared" si="7"/>
        <v>1.83864688576</v>
      </c>
    </row>
    <row r="494" spans="1:3" x14ac:dyDescent="0.2">
      <c r="A494">
        <v>4.1379299999999999</v>
      </c>
      <c r="B494">
        <v>68.962000000000003</v>
      </c>
      <c r="C494">
        <f t="shared" si="7"/>
        <v>1.83571683004</v>
      </c>
    </row>
    <row r="495" spans="1:3" x14ac:dyDescent="0.2">
      <c r="A495">
        <v>4.1465500000000004</v>
      </c>
      <c r="B495">
        <v>68.697999999999993</v>
      </c>
      <c r="C495">
        <f t="shared" si="7"/>
        <v>1.8343676316400002</v>
      </c>
    </row>
    <row r="496" spans="1:3" x14ac:dyDescent="0.2">
      <c r="A496">
        <v>4.15517</v>
      </c>
      <c r="B496">
        <v>68.477000000000004</v>
      </c>
      <c r="C496">
        <f t="shared" si="7"/>
        <v>1.8332285423900001</v>
      </c>
    </row>
    <row r="497" spans="1:3" x14ac:dyDescent="0.2">
      <c r="A497">
        <v>4.1637899999999997</v>
      </c>
      <c r="B497">
        <v>67.811999999999998</v>
      </c>
      <c r="C497">
        <f t="shared" si="7"/>
        <v>1.8297479390400002</v>
      </c>
    </row>
    <row r="498" spans="1:3" x14ac:dyDescent="0.2">
      <c r="A498">
        <v>4.1724100000000002</v>
      </c>
      <c r="B498">
        <v>67.558000000000007</v>
      </c>
      <c r="C498">
        <f t="shared" si="7"/>
        <v>1.8283974972400001</v>
      </c>
    </row>
    <row r="499" spans="1:3" x14ac:dyDescent="0.2">
      <c r="A499">
        <v>4.1810299999999998</v>
      </c>
      <c r="B499">
        <v>67.176000000000002</v>
      </c>
      <c r="C499">
        <f t="shared" si="7"/>
        <v>1.82634465216</v>
      </c>
    </row>
    <row r="500" spans="1:3" x14ac:dyDescent="0.2">
      <c r="A500">
        <v>4.1896599999999999</v>
      </c>
      <c r="B500">
        <v>67.265000000000001</v>
      </c>
      <c r="C500">
        <f t="shared" si="7"/>
        <v>1.8268252797500002</v>
      </c>
    </row>
    <row r="501" spans="1:3" x14ac:dyDescent="0.2">
      <c r="A501">
        <v>4.1982799999999996</v>
      </c>
      <c r="B501">
        <v>66.637</v>
      </c>
      <c r="C501">
        <f t="shared" si="7"/>
        <v>1.8234034207900001</v>
      </c>
    </row>
    <row r="502" spans="1:3" x14ac:dyDescent="0.2">
      <c r="A502">
        <v>4.2069000000000001</v>
      </c>
      <c r="B502">
        <v>65.540999999999997</v>
      </c>
      <c r="C502">
        <f t="shared" si="7"/>
        <v>1.81726145871</v>
      </c>
    </row>
    <row r="503" spans="1:3" x14ac:dyDescent="0.2">
      <c r="A503">
        <v>4.2155199999999997</v>
      </c>
      <c r="B503">
        <v>64.856999999999999</v>
      </c>
      <c r="C503">
        <f t="shared" si="7"/>
        <v>1.81331875959</v>
      </c>
    </row>
    <row r="504" spans="1:3" x14ac:dyDescent="0.2">
      <c r="A504">
        <v>4.2241400000000002</v>
      </c>
      <c r="B504">
        <v>64.061000000000007</v>
      </c>
      <c r="C504">
        <f t="shared" si="7"/>
        <v>1.8086244451100002</v>
      </c>
    </row>
    <row r="505" spans="1:3" x14ac:dyDescent="0.2">
      <c r="A505">
        <v>4.2327599999999999</v>
      </c>
      <c r="B505">
        <v>63.462000000000003</v>
      </c>
      <c r="C505">
        <f t="shared" si="7"/>
        <v>1.8050167100400001</v>
      </c>
    </row>
    <row r="506" spans="1:3" x14ac:dyDescent="0.2">
      <c r="A506">
        <v>4.2413800000000004</v>
      </c>
      <c r="B506">
        <v>63.031999999999996</v>
      </c>
      <c r="C506">
        <f t="shared" si="7"/>
        <v>1.80238702784</v>
      </c>
    </row>
    <row r="507" spans="1:3" x14ac:dyDescent="0.2">
      <c r="A507">
        <v>4.25</v>
      </c>
      <c r="B507">
        <v>62.305</v>
      </c>
      <c r="C507">
        <f t="shared" si="7"/>
        <v>1.7978653277500001</v>
      </c>
    </row>
    <row r="508" spans="1:3" x14ac:dyDescent="0.2">
      <c r="A508">
        <v>4.2586199999999996</v>
      </c>
      <c r="B508">
        <v>60.887</v>
      </c>
      <c r="C508">
        <f t="shared" si="7"/>
        <v>1.7887720907900002</v>
      </c>
    </row>
    <row r="509" spans="1:3" x14ac:dyDescent="0.2">
      <c r="A509">
        <v>4.2672400000000001</v>
      </c>
      <c r="B509">
        <v>59.911999999999999</v>
      </c>
      <c r="C509">
        <f t="shared" si="7"/>
        <v>1.7823097030400001</v>
      </c>
    </row>
    <row r="510" spans="1:3" x14ac:dyDescent="0.2">
      <c r="A510">
        <v>4.2758599999999998</v>
      </c>
      <c r="B510">
        <v>58.576999999999998</v>
      </c>
      <c r="C510">
        <f t="shared" si="7"/>
        <v>1.7731836563899999</v>
      </c>
    </row>
    <row r="511" spans="1:3" x14ac:dyDescent="0.2">
      <c r="A511">
        <v>4.2844800000000003</v>
      </c>
      <c r="B511">
        <v>57.734999999999999</v>
      </c>
      <c r="C511">
        <f t="shared" si="7"/>
        <v>1.76726277975</v>
      </c>
    </row>
    <row r="512" spans="1:3" x14ac:dyDescent="0.2">
      <c r="A512">
        <v>4.2930999999999999</v>
      </c>
      <c r="B512">
        <v>57.872</v>
      </c>
      <c r="C512">
        <f t="shared" si="7"/>
        <v>1.7682348454400001</v>
      </c>
    </row>
    <row r="513" spans="1:3" x14ac:dyDescent="0.2">
      <c r="A513">
        <v>4.3017200000000004</v>
      </c>
      <c r="B513">
        <v>57.325000000000003</v>
      </c>
      <c r="C513">
        <f t="shared" si="7"/>
        <v>1.7643334937500001</v>
      </c>
    </row>
    <row r="514" spans="1:3" x14ac:dyDescent="0.2">
      <c r="A514">
        <v>4.3103400000000001</v>
      </c>
      <c r="B514">
        <v>56.887999999999998</v>
      </c>
      <c r="C514">
        <f t="shared" si="7"/>
        <v>1.7611779910400001</v>
      </c>
    </row>
    <row r="515" spans="1:3" x14ac:dyDescent="0.2">
      <c r="A515">
        <v>4.3189700000000002</v>
      </c>
      <c r="B515">
        <v>55.926000000000002</v>
      </c>
      <c r="C515">
        <f t="shared" si="7"/>
        <v>1.7541104271600001</v>
      </c>
    </row>
    <row r="516" spans="1:3" x14ac:dyDescent="0.2">
      <c r="A516">
        <v>4.3275899999999998</v>
      </c>
      <c r="B516">
        <v>55.36</v>
      </c>
      <c r="C516">
        <f t="shared" si="7"/>
        <v>1.749874336</v>
      </c>
    </row>
    <row r="517" spans="1:3" x14ac:dyDescent="0.2">
      <c r="A517">
        <v>4.3362100000000003</v>
      </c>
      <c r="B517">
        <v>54.951999999999998</v>
      </c>
      <c r="C517">
        <f t="shared" si="7"/>
        <v>1.7467849926400001</v>
      </c>
    </row>
    <row r="518" spans="1:3" x14ac:dyDescent="0.2">
      <c r="A518">
        <v>4.34483</v>
      </c>
      <c r="B518">
        <v>55.215000000000003</v>
      </c>
      <c r="C518">
        <f t="shared" si="7"/>
        <v>1.7487798397500001</v>
      </c>
    </row>
    <row r="519" spans="1:3" x14ac:dyDescent="0.2">
      <c r="A519">
        <v>4.3534499999999996</v>
      </c>
      <c r="B519">
        <v>54.887</v>
      </c>
      <c r="C519">
        <f t="shared" si="7"/>
        <v>1.7462900507899999</v>
      </c>
    </row>
    <row r="520" spans="1:3" x14ac:dyDescent="0.2">
      <c r="A520">
        <v>4.3620700000000001</v>
      </c>
      <c r="B520">
        <v>53.722000000000001</v>
      </c>
      <c r="C520">
        <f t="shared" si="7"/>
        <v>1.73729020444</v>
      </c>
    </row>
    <row r="521" spans="1:3" x14ac:dyDescent="0.2">
      <c r="A521">
        <v>4.3706899999999997</v>
      </c>
      <c r="B521">
        <v>52.762</v>
      </c>
      <c r="C521">
        <f t="shared" si="7"/>
        <v>1.72969042204</v>
      </c>
    </row>
    <row r="522" spans="1:3" x14ac:dyDescent="0.2">
      <c r="A522">
        <v>4.3793100000000003</v>
      </c>
      <c r="B522">
        <v>51.963999999999999</v>
      </c>
      <c r="C522">
        <f t="shared" si="7"/>
        <v>1.7232468433600001</v>
      </c>
    </row>
    <row r="523" spans="1:3" x14ac:dyDescent="0.2">
      <c r="A523">
        <v>4.3879299999999999</v>
      </c>
      <c r="B523">
        <v>51.884999999999998</v>
      </c>
      <c r="C523">
        <f t="shared" si="7"/>
        <v>1.7226027097500001</v>
      </c>
    </row>
    <row r="524" spans="1:3" x14ac:dyDescent="0.2">
      <c r="A524">
        <v>4.3965500000000004</v>
      </c>
      <c r="B524">
        <v>51.899000000000001</v>
      </c>
      <c r="C524">
        <f t="shared" si="7"/>
        <v>1.7227169419099999</v>
      </c>
    </row>
    <row r="525" spans="1:3" x14ac:dyDescent="0.2">
      <c r="A525">
        <v>4.40517</v>
      </c>
      <c r="B525">
        <v>51.908000000000001</v>
      </c>
      <c r="C525">
        <f t="shared" si="7"/>
        <v>1.7227903582400002</v>
      </c>
    </row>
    <row r="526" spans="1:3" x14ac:dyDescent="0.2">
      <c r="A526">
        <v>4.4137899999999997</v>
      </c>
      <c r="B526">
        <v>52.197000000000003</v>
      </c>
      <c r="C526">
        <f t="shared" si="7"/>
        <v>1.7251400871900002</v>
      </c>
    </row>
    <row r="527" spans="1:3" x14ac:dyDescent="0.2">
      <c r="A527">
        <v>4.4224100000000002</v>
      </c>
      <c r="B527">
        <v>52.287999999999997</v>
      </c>
      <c r="C527">
        <f t="shared" ref="C527:C590" si="8">(-0.00009*(B527^2))+0.0175*B527+1.0569</f>
        <v>1.7258768550400001</v>
      </c>
    </row>
    <row r="528" spans="1:3" x14ac:dyDescent="0.2">
      <c r="A528">
        <v>4.4310299999999998</v>
      </c>
      <c r="B528">
        <v>52.137</v>
      </c>
      <c r="C528">
        <f t="shared" si="8"/>
        <v>1.72465349079</v>
      </c>
    </row>
    <row r="529" spans="1:3" x14ac:dyDescent="0.2">
      <c r="A529">
        <v>4.4396599999999999</v>
      </c>
      <c r="B529">
        <v>51.912999999999997</v>
      </c>
      <c r="C529">
        <f t="shared" si="8"/>
        <v>1.7228311387900002</v>
      </c>
    </row>
    <row r="530" spans="1:3" x14ac:dyDescent="0.2">
      <c r="A530">
        <v>4.4482799999999996</v>
      </c>
      <c r="B530">
        <v>51.232999999999997</v>
      </c>
      <c r="C530">
        <f t="shared" si="8"/>
        <v>1.7172436739900001</v>
      </c>
    </row>
    <row r="531" spans="1:3" x14ac:dyDescent="0.2">
      <c r="A531">
        <v>4.4569000000000001</v>
      </c>
      <c r="B531">
        <v>50.848999999999997</v>
      </c>
      <c r="C531">
        <f t="shared" si="8"/>
        <v>1.71405162791</v>
      </c>
    </row>
    <row r="532" spans="1:3" x14ac:dyDescent="0.2">
      <c r="A532">
        <v>4.4655199999999997</v>
      </c>
      <c r="B532">
        <v>51.2</v>
      </c>
      <c r="C532">
        <f t="shared" si="8"/>
        <v>1.7169704000000001</v>
      </c>
    </row>
    <row r="533" spans="1:3" x14ac:dyDescent="0.2">
      <c r="A533">
        <v>4.4741400000000002</v>
      </c>
      <c r="B533">
        <v>52.061</v>
      </c>
      <c r="C533">
        <f t="shared" si="8"/>
        <v>1.72403620511</v>
      </c>
    </row>
    <row r="534" spans="1:3" x14ac:dyDescent="0.2">
      <c r="A534">
        <v>4.4827599999999999</v>
      </c>
      <c r="B534">
        <v>53.402999999999999</v>
      </c>
      <c r="C534">
        <f t="shared" si="8"/>
        <v>1.7347832631900002</v>
      </c>
    </row>
    <row r="535" spans="1:3" x14ac:dyDescent="0.2">
      <c r="A535">
        <v>4.4913800000000004</v>
      </c>
      <c r="B535">
        <v>54.4</v>
      </c>
      <c r="C535">
        <f t="shared" si="8"/>
        <v>1.7425576</v>
      </c>
    </row>
    <row r="536" spans="1:3" x14ac:dyDescent="0.2">
      <c r="A536">
        <v>4.5</v>
      </c>
      <c r="B536">
        <v>55.484000000000002</v>
      </c>
      <c r="C536">
        <f t="shared" si="8"/>
        <v>1.75080731696</v>
      </c>
    </row>
    <row r="537" spans="1:3" x14ac:dyDescent="0.2">
      <c r="A537">
        <v>4.5086199999999996</v>
      </c>
      <c r="B537">
        <v>57.104999999999997</v>
      </c>
      <c r="C537">
        <f t="shared" si="8"/>
        <v>1.76274920775</v>
      </c>
    </row>
    <row r="538" spans="1:3" x14ac:dyDescent="0.2">
      <c r="A538">
        <v>4.5172400000000001</v>
      </c>
      <c r="B538">
        <v>59.017000000000003</v>
      </c>
      <c r="C538">
        <f t="shared" si="8"/>
        <v>1.7762269339900001</v>
      </c>
    </row>
    <row r="539" spans="1:3" x14ac:dyDescent="0.2">
      <c r="A539">
        <v>4.5258599999999998</v>
      </c>
      <c r="B539">
        <v>61.41</v>
      </c>
      <c r="C539">
        <f t="shared" si="8"/>
        <v>1.7921680710000001</v>
      </c>
    </row>
    <row r="540" spans="1:3" x14ac:dyDescent="0.2">
      <c r="A540">
        <v>4.5344800000000003</v>
      </c>
      <c r="B540">
        <v>63.607999999999997</v>
      </c>
      <c r="C540">
        <f t="shared" si="8"/>
        <v>1.8059020102400001</v>
      </c>
    </row>
    <row r="541" spans="1:3" x14ac:dyDescent="0.2">
      <c r="A541">
        <v>4.5430999999999999</v>
      </c>
      <c r="B541">
        <v>65.506</v>
      </c>
      <c r="C541">
        <f t="shared" si="8"/>
        <v>1.8170617567599998</v>
      </c>
    </row>
    <row r="542" spans="1:3" x14ac:dyDescent="0.2">
      <c r="A542">
        <v>4.5517200000000004</v>
      </c>
      <c r="B542">
        <v>66.936000000000007</v>
      </c>
      <c r="C542">
        <f t="shared" si="8"/>
        <v>1.8250414713600001</v>
      </c>
    </row>
    <row r="543" spans="1:3" x14ac:dyDescent="0.2">
      <c r="A543">
        <v>4.5603400000000001</v>
      </c>
      <c r="B543">
        <v>67.873999999999995</v>
      </c>
      <c r="C543">
        <f t="shared" si="8"/>
        <v>1.83007581116</v>
      </c>
    </row>
    <row r="544" spans="1:3" x14ac:dyDescent="0.2">
      <c r="A544">
        <v>4.5689700000000002</v>
      </c>
      <c r="B544">
        <v>68.489000000000004</v>
      </c>
      <c r="C544">
        <f t="shared" si="8"/>
        <v>1.83329061911</v>
      </c>
    </row>
    <row r="545" spans="1:3" x14ac:dyDescent="0.2">
      <c r="A545">
        <v>4.5775899999999998</v>
      </c>
      <c r="B545">
        <v>68.563999999999993</v>
      </c>
      <c r="C545">
        <f t="shared" si="8"/>
        <v>1.83367801136</v>
      </c>
    </row>
    <row r="546" spans="1:3" x14ac:dyDescent="0.2">
      <c r="A546">
        <v>4.5862100000000003</v>
      </c>
      <c r="B546">
        <v>68.838999999999999</v>
      </c>
      <c r="C546">
        <f t="shared" si="8"/>
        <v>1.83508978711</v>
      </c>
    </row>
    <row r="547" spans="1:3" x14ac:dyDescent="0.2">
      <c r="A547">
        <v>4.59483</v>
      </c>
      <c r="B547">
        <v>67.641000000000005</v>
      </c>
      <c r="C547">
        <f t="shared" si="8"/>
        <v>1.8288400607100002</v>
      </c>
    </row>
    <row r="548" spans="1:3" x14ac:dyDescent="0.2">
      <c r="A548">
        <v>4.6034499999999996</v>
      </c>
      <c r="B548">
        <v>66.834999999999994</v>
      </c>
      <c r="C548">
        <f t="shared" si="8"/>
        <v>1.82448994975</v>
      </c>
    </row>
    <row r="549" spans="1:3" x14ac:dyDescent="0.2">
      <c r="A549">
        <v>4.6120700000000001</v>
      </c>
      <c r="B549">
        <v>65.77</v>
      </c>
      <c r="C549">
        <f t="shared" si="8"/>
        <v>1.818562639</v>
      </c>
    </row>
    <row r="550" spans="1:3" x14ac:dyDescent="0.2">
      <c r="A550">
        <v>4.6206899999999997</v>
      </c>
      <c r="B550">
        <v>64.856999999999999</v>
      </c>
      <c r="C550">
        <f t="shared" si="8"/>
        <v>1.81331875959</v>
      </c>
    </row>
    <row r="551" spans="1:3" x14ac:dyDescent="0.2">
      <c r="A551">
        <v>4.6293100000000003</v>
      </c>
      <c r="B551">
        <v>64.701999999999998</v>
      </c>
      <c r="C551">
        <f t="shared" si="8"/>
        <v>1.8124136076399999</v>
      </c>
    </row>
    <row r="552" spans="1:3" x14ac:dyDescent="0.2">
      <c r="A552">
        <v>4.6379299999999999</v>
      </c>
      <c r="B552">
        <v>63.777999999999999</v>
      </c>
      <c r="C552">
        <f t="shared" si="8"/>
        <v>1.80692800444</v>
      </c>
    </row>
    <row r="553" spans="1:3" x14ac:dyDescent="0.2">
      <c r="A553">
        <v>4.6465500000000004</v>
      </c>
      <c r="B553">
        <v>62.2</v>
      </c>
      <c r="C553">
        <f t="shared" si="8"/>
        <v>1.7972044</v>
      </c>
    </row>
    <row r="554" spans="1:3" x14ac:dyDescent="0.2">
      <c r="A554">
        <v>4.65517</v>
      </c>
      <c r="B554">
        <v>60.624000000000002</v>
      </c>
      <c r="C554">
        <f t="shared" si="8"/>
        <v>1.7870457561599999</v>
      </c>
    </row>
    <row r="555" spans="1:3" x14ac:dyDescent="0.2">
      <c r="A555">
        <v>4.6637899999999997</v>
      </c>
      <c r="B555">
        <v>59.036000000000001</v>
      </c>
      <c r="C555">
        <f t="shared" si="8"/>
        <v>1.7763575633599999</v>
      </c>
    </row>
    <row r="556" spans="1:3" x14ac:dyDescent="0.2">
      <c r="A556">
        <v>4.6724100000000002</v>
      </c>
      <c r="B556">
        <v>57.713000000000001</v>
      </c>
      <c r="C556">
        <f t="shared" si="8"/>
        <v>1.7671063667900002</v>
      </c>
    </row>
    <row r="557" spans="1:3" x14ac:dyDescent="0.2">
      <c r="A557">
        <v>4.6810299999999998</v>
      </c>
      <c r="B557">
        <v>57.167000000000002</v>
      </c>
      <c r="C557">
        <f t="shared" si="8"/>
        <v>1.7631965699900001</v>
      </c>
    </row>
    <row r="558" spans="1:3" x14ac:dyDescent="0.2">
      <c r="A558">
        <v>4.6896599999999999</v>
      </c>
      <c r="B558">
        <v>56.231999999999999</v>
      </c>
      <c r="C558">
        <f t="shared" si="8"/>
        <v>1.7563765958399999</v>
      </c>
    </row>
    <row r="559" spans="1:3" x14ac:dyDescent="0.2">
      <c r="A559">
        <v>4.6982799999999996</v>
      </c>
      <c r="B559">
        <v>54.908000000000001</v>
      </c>
      <c r="C559">
        <f t="shared" si="8"/>
        <v>1.7464500382400001</v>
      </c>
    </row>
    <row r="560" spans="1:3" x14ac:dyDescent="0.2">
      <c r="A560">
        <v>4.7069000000000001</v>
      </c>
      <c r="B560">
        <v>53.911000000000001</v>
      </c>
      <c r="C560">
        <f t="shared" si="8"/>
        <v>1.7387668671100001</v>
      </c>
    </row>
    <row r="561" spans="1:3" x14ac:dyDescent="0.2">
      <c r="A561">
        <v>4.7155199999999997</v>
      </c>
      <c r="B561">
        <v>52.801000000000002</v>
      </c>
      <c r="C561">
        <f t="shared" si="8"/>
        <v>1.7300023959100002</v>
      </c>
    </row>
    <row r="562" spans="1:3" x14ac:dyDescent="0.2">
      <c r="A562">
        <v>4.7241400000000002</v>
      </c>
      <c r="B562">
        <v>51.161999999999999</v>
      </c>
      <c r="C562">
        <f t="shared" si="8"/>
        <v>1.7166554780400001</v>
      </c>
    </row>
    <row r="563" spans="1:3" x14ac:dyDescent="0.2">
      <c r="A563">
        <v>4.7327599999999999</v>
      </c>
      <c r="B563">
        <v>49.576000000000001</v>
      </c>
      <c r="C563">
        <f t="shared" si="8"/>
        <v>1.7032798201600001</v>
      </c>
    </row>
    <row r="564" spans="1:3" x14ac:dyDescent="0.2">
      <c r="A564">
        <v>4.7413800000000004</v>
      </c>
      <c r="B564">
        <v>47.582999999999998</v>
      </c>
      <c r="C564">
        <f t="shared" si="8"/>
        <v>1.68582972999</v>
      </c>
    </row>
    <row r="565" spans="1:3" x14ac:dyDescent="0.2">
      <c r="A565">
        <v>4.75</v>
      </c>
      <c r="B565">
        <v>46.429000000000002</v>
      </c>
      <c r="C565">
        <f t="shared" si="8"/>
        <v>1.67539881631</v>
      </c>
    </row>
    <row r="566" spans="1:3" x14ac:dyDescent="0.2">
      <c r="A566">
        <v>4.7586199999999996</v>
      </c>
      <c r="B566">
        <v>45.832000000000001</v>
      </c>
      <c r="C566">
        <f t="shared" si="8"/>
        <v>1.66990849984</v>
      </c>
    </row>
    <row r="567" spans="1:3" x14ac:dyDescent="0.2">
      <c r="A567">
        <v>4.7672400000000001</v>
      </c>
      <c r="B567">
        <v>44.935000000000002</v>
      </c>
      <c r="C567">
        <f t="shared" si="8"/>
        <v>1.6615386197499999</v>
      </c>
    </row>
    <row r="568" spans="1:3" x14ac:dyDescent="0.2">
      <c r="A568">
        <v>4.7758599999999998</v>
      </c>
      <c r="B568">
        <v>43.323999999999998</v>
      </c>
      <c r="C568">
        <f t="shared" si="8"/>
        <v>1.64614279216</v>
      </c>
    </row>
    <row r="569" spans="1:3" x14ac:dyDescent="0.2">
      <c r="A569">
        <v>4.7844800000000003</v>
      </c>
      <c r="B569">
        <v>41.161999999999999</v>
      </c>
      <c r="C569">
        <f t="shared" si="8"/>
        <v>1.62474707804</v>
      </c>
    </row>
    <row r="570" spans="1:3" x14ac:dyDescent="0.2">
      <c r="A570">
        <v>4.7930999999999999</v>
      </c>
      <c r="B570">
        <v>38.923000000000002</v>
      </c>
      <c r="C570">
        <f t="shared" si="8"/>
        <v>1.6017025063900001</v>
      </c>
    </row>
    <row r="571" spans="1:3" x14ac:dyDescent="0.2">
      <c r="A571">
        <v>4.8017200000000004</v>
      </c>
      <c r="B571">
        <v>37.841000000000001</v>
      </c>
      <c r="C571">
        <f t="shared" si="8"/>
        <v>1.59024278471</v>
      </c>
    </row>
    <row r="572" spans="1:3" x14ac:dyDescent="0.2">
      <c r="A572">
        <v>4.8103400000000001</v>
      </c>
      <c r="B572">
        <v>37.744</v>
      </c>
      <c r="C572">
        <f t="shared" si="8"/>
        <v>1.5892051417599999</v>
      </c>
    </row>
    <row r="573" spans="1:3" x14ac:dyDescent="0.2">
      <c r="A573">
        <v>4.8189700000000002</v>
      </c>
      <c r="B573">
        <v>37.581000000000003</v>
      </c>
      <c r="C573">
        <f t="shared" si="8"/>
        <v>1.5874576595100001</v>
      </c>
    </row>
    <row r="574" spans="1:3" x14ac:dyDescent="0.2">
      <c r="A574">
        <v>4.8275899999999998</v>
      </c>
      <c r="B574">
        <v>36.56</v>
      </c>
      <c r="C574">
        <f t="shared" si="8"/>
        <v>1.5764029760000002</v>
      </c>
    </row>
    <row r="575" spans="1:3" x14ac:dyDescent="0.2">
      <c r="A575">
        <v>4.8362100000000003</v>
      </c>
      <c r="B575">
        <v>34.999000000000002</v>
      </c>
      <c r="C575">
        <f t="shared" si="8"/>
        <v>1.5591387999099999</v>
      </c>
    </row>
    <row r="576" spans="1:3" x14ac:dyDescent="0.2">
      <c r="A576">
        <v>4.84483</v>
      </c>
      <c r="B576">
        <v>33.340000000000003</v>
      </c>
      <c r="C576">
        <f t="shared" si="8"/>
        <v>1.540309996</v>
      </c>
    </row>
    <row r="577" spans="1:3" x14ac:dyDescent="0.2">
      <c r="A577">
        <v>4.8534499999999996</v>
      </c>
      <c r="B577">
        <v>32.003</v>
      </c>
      <c r="C577">
        <f t="shared" si="8"/>
        <v>1.5247752191899999</v>
      </c>
    </row>
    <row r="578" spans="1:3" x14ac:dyDescent="0.2">
      <c r="A578">
        <v>4.8620700000000001</v>
      </c>
      <c r="B578">
        <v>31.271999999999998</v>
      </c>
      <c r="C578">
        <f t="shared" si="8"/>
        <v>1.51614558144</v>
      </c>
    </row>
    <row r="579" spans="1:3" x14ac:dyDescent="0.2">
      <c r="A579">
        <v>4.8706899999999997</v>
      </c>
      <c r="B579">
        <v>30.940999999999999</v>
      </c>
      <c r="C579">
        <f t="shared" si="8"/>
        <v>1.5122064067099998</v>
      </c>
    </row>
    <row r="580" spans="1:3" x14ac:dyDescent="0.2">
      <c r="A580">
        <v>4.8793100000000003</v>
      </c>
      <c r="B580">
        <v>30.885999999999999</v>
      </c>
      <c r="C580">
        <f t="shared" si="8"/>
        <v>1.5115499503600001</v>
      </c>
    </row>
    <row r="581" spans="1:3" x14ac:dyDescent="0.2">
      <c r="A581">
        <v>4.8879299999999999</v>
      </c>
      <c r="B581">
        <v>30.835000000000001</v>
      </c>
      <c r="C581">
        <f t="shared" si="8"/>
        <v>1.51094074975</v>
      </c>
    </row>
    <row r="582" spans="1:3" x14ac:dyDescent="0.2">
      <c r="A582">
        <v>4.8965500000000004</v>
      </c>
      <c r="B582">
        <v>30.207999999999998</v>
      </c>
      <c r="C582">
        <f t="shared" si="8"/>
        <v>1.5034129062399999</v>
      </c>
    </row>
    <row r="583" spans="1:3" x14ac:dyDescent="0.2">
      <c r="A583">
        <v>4.90517</v>
      </c>
      <c r="B583">
        <v>29.420999999999999</v>
      </c>
      <c r="C583">
        <f t="shared" si="8"/>
        <v>1.4938639283099999</v>
      </c>
    </row>
    <row r="584" spans="1:3" x14ac:dyDescent="0.2">
      <c r="A584">
        <v>4.9137899999999997</v>
      </c>
      <c r="B584">
        <v>28.152000000000001</v>
      </c>
      <c r="C584">
        <f t="shared" si="8"/>
        <v>1.4782318406399999</v>
      </c>
    </row>
    <row r="585" spans="1:3" x14ac:dyDescent="0.2">
      <c r="A585">
        <v>4.9224100000000002</v>
      </c>
      <c r="B585">
        <v>27.175999999999998</v>
      </c>
      <c r="C585">
        <f t="shared" si="8"/>
        <v>1.4660118521599999</v>
      </c>
    </row>
    <row r="586" spans="1:3" x14ac:dyDescent="0.2">
      <c r="A586">
        <v>4.9310299999999998</v>
      </c>
      <c r="B586">
        <v>26.35</v>
      </c>
      <c r="C586">
        <f t="shared" si="8"/>
        <v>1.4555359750000001</v>
      </c>
    </row>
    <row r="587" spans="1:3" x14ac:dyDescent="0.2">
      <c r="A587">
        <v>4.9396599999999999</v>
      </c>
      <c r="B587">
        <v>26.038</v>
      </c>
      <c r="C587">
        <f t="shared" si="8"/>
        <v>1.45154703004</v>
      </c>
    </row>
    <row r="588" spans="1:3" x14ac:dyDescent="0.2">
      <c r="A588">
        <v>4.9482799999999996</v>
      </c>
      <c r="B588">
        <v>24.911999999999999</v>
      </c>
      <c r="C588">
        <f t="shared" si="8"/>
        <v>1.4370053030399998</v>
      </c>
    </row>
    <row r="589" spans="1:3" x14ac:dyDescent="0.2">
      <c r="A589">
        <v>4.9569000000000001</v>
      </c>
      <c r="B589">
        <v>24.132999999999999</v>
      </c>
      <c r="C589">
        <f t="shared" si="8"/>
        <v>1.42681134799</v>
      </c>
    </row>
    <row r="590" spans="1:3" x14ac:dyDescent="0.2">
      <c r="A590">
        <v>4.9655199999999997</v>
      </c>
      <c r="B590">
        <v>23.427</v>
      </c>
      <c r="C590">
        <f t="shared" si="8"/>
        <v>1.4174783103899999</v>
      </c>
    </row>
    <row r="591" spans="1:3" x14ac:dyDescent="0.2">
      <c r="A591">
        <v>4.9741400000000002</v>
      </c>
      <c r="B591">
        <v>23.041</v>
      </c>
      <c r="C591">
        <f t="shared" ref="C591:C654" si="9">(-0.00009*(B591^2))+0.0175*B591+1.0569</f>
        <v>1.4123376087100001</v>
      </c>
    </row>
    <row r="592" spans="1:3" x14ac:dyDescent="0.2">
      <c r="A592">
        <v>4.9827599999999999</v>
      </c>
      <c r="B592">
        <v>22.475999999999999</v>
      </c>
      <c r="C592">
        <f t="shared" si="9"/>
        <v>1.40476464816</v>
      </c>
    </row>
    <row r="593" spans="1:3" x14ac:dyDescent="0.2">
      <c r="A593">
        <v>4.9913800000000004</v>
      </c>
      <c r="B593">
        <v>21.864999999999998</v>
      </c>
      <c r="C593">
        <f t="shared" si="9"/>
        <v>1.39651045975</v>
      </c>
    </row>
    <row r="594" spans="1:3" x14ac:dyDescent="0.2">
      <c r="A594">
        <v>5</v>
      </c>
      <c r="B594">
        <v>21.408000000000001</v>
      </c>
      <c r="C594">
        <f t="shared" si="9"/>
        <v>1.3902927782400001</v>
      </c>
    </row>
    <row r="595" spans="1:3" x14ac:dyDescent="0.2">
      <c r="A595">
        <v>5.0086199999999996</v>
      </c>
      <c r="B595">
        <v>20.984999999999999</v>
      </c>
      <c r="C595">
        <f t="shared" si="9"/>
        <v>1.38450417975</v>
      </c>
    </row>
    <row r="596" spans="1:3" x14ac:dyDescent="0.2">
      <c r="A596">
        <v>5.0172400000000001</v>
      </c>
      <c r="B596">
        <v>20.789000000000001</v>
      </c>
      <c r="C596">
        <f t="shared" si="9"/>
        <v>1.38181107311</v>
      </c>
    </row>
    <row r="597" spans="1:3" x14ac:dyDescent="0.2">
      <c r="A597">
        <v>5.0258599999999998</v>
      </c>
      <c r="B597">
        <v>20.193000000000001</v>
      </c>
      <c r="C597">
        <f t="shared" si="9"/>
        <v>1.37357934759</v>
      </c>
    </row>
    <row r="598" spans="1:3" x14ac:dyDescent="0.2">
      <c r="A598">
        <v>5.0344800000000003</v>
      </c>
      <c r="B598">
        <v>19.818999999999999</v>
      </c>
      <c r="C598">
        <f t="shared" si="9"/>
        <v>1.3683811515099999</v>
      </c>
    </row>
    <row r="599" spans="1:3" x14ac:dyDescent="0.2">
      <c r="A599">
        <v>5.0430999999999999</v>
      </c>
      <c r="B599">
        <v>19.68</v>
      </c>
      <c r="C599">
        <f t="shared" si="9"/>
        <v>1.366442784</v>
      </c>
    </row>
    <row r="600" spans="1:3" x14ac:dyDescent="0.2">
      <c r="A600">
        <v>5.0517200000000004</v>
      </c>
      <c r="B600">
        <v>19.283000000000001</v>
      </c>
      <c r="C600">
        <f t="shared" si="9"/>
        <v>1.36088743199</v>
      </c>
    </row>
    <row r="601" spans="1:3" x14ac:dyDescent="0.2">
      <c r="A601">
        <v>5.0603400000000001</v>
      </c>
      <c r="B601">
        <v>18.838999999999999</v>
      </c>
      <c r="C601">
        <f t="shared" si="9"/>
        <v>1.3546407871099999</v>
      </c>
    </row>
    <row r="602" spans="1:3" x14ac:dyDescent="0.2">
      <c r="A602">
        <v>5.0689700000000002</v>
      </c>
      <c r="B602">
        <v>19.997</v>
      </c>
      <c r="C602">
        <f t="shared" si="9"/>
        <v>1.37085829919</v>
      </c>
    </row>
    <row r="603" spans="1:3" x14ac:dyDescent="0.2">
      <c r="A603">
        <v>5.0775899999999998</v>
      </c>
      <c r="B603">
        <v>21.882999999999999</v>
      </c>
      <c r="C603">
        <f t="shared" si="9"/>
        <v>1.3967545879899999</v>
      </c>
    </row>
    <row r="604" spans="1:3" x14ac:dyDescent="0.2">
      <c r="A604">
        <v>5.0862100000000003</v>
      </c>
      <c r="B604">
        <v>23.053999999999998</v>
      </c>
      <c r="C604">
        <f t="shared" si="9"/>
        <v>1.4125111775599999</v>
      </c>
    </row>
    <row r="605" spans="1:3" x14ac:dyDescent="0.2">
      <c r="A605">
        <v>5.09483</v>
      </c>
      <c r="B605">
        <v>22.536000000000001</v>
      </c>
      <c r="C605">
        <f t="shared" si="9"/>
        <v>1.40557158336</v>
      </c>
    </row>
    <row r="606" spans="1:3" x14ac:dyDescent="0.2">
      <c r="A606">
        <v>5.1034499999999996</v>
      </c>
      <c r="B606">
        <v>20.329999999999998</v>
      </c>
      <c r="C606">
        <f t="shared" si="9"/>
        <v>1.3754771990000001</v>
      </c>
    </row>
    <row r="607" spans="1:3" x14ac:dyDescent="0.2">
      <c r="A607">
        <v>5.1120700000000001</v>
      </c>
      <c r="B607">
        <v>18.305</v>
      </c>
      <c r="C607">
        <f t="shared" si="9"/>
        <v>1.34708092775</v>
      </c>
    </row>
    <row r="608" spans="1:3" x14ac:dyDescent="0.2">
      <c r="A608">
        <v>5.1206899999999997</v>
      </c>
      <c r="B608">
        <v>17.622</v>
      </c>
      <c r="C608">
        <f t="shared" si="9"/>
        <v>1.33733686044</v>
      </c>
    </row>
    <row r="609" spans="1:3" x14ac:dyDescent="0.2">
      <c r="A609">
        <v>5.1293100000000003</v>
      </c>
      <c r="B609">
        <v>17.785</v>
      </c>
      <c r="C609">
        <f t="shared" si="9"/>
        <v>1.33966993975</v>
      </c>
    </row>
    <row r="610" spans="1:3" x14ac:dyDescent="0.2">
      <c r="A610">
        <v>5.1379299999999999</v>
      </c>
      <c r="B610">
        <v>18.541</v>
      </c>
      <c r="C610">
        <f t="shared" si="9"/>
        <v>1.3504283187099999</v>
      </c>
    </row>
    <row r="611" spans="1:3" x14ac:dyDescent="0.2">
      <c r="A611">
        <v>5.1465500000000004</v>
      </c>
      <c r="B611">
        <v>20.026</v>
      </c>
      <c r="C611">
        <f t="shared" si="9"/>
        <v>1.3712613391599999</v>
      </c>
    </row>
    <row r="612" spans="1:3" x14ac:dyDescent="0.2">
      <c r="A612">
        <v>5.15517</v>
      </c>
      <c r="B612">
        <v>22.09</v>
      </c>
      <c r="C612">
        <f t="shared" si="9"/>
        <v>1.3995578710000001</v>
      </c>
    </row>
    <row r="613" spans="1:3" x14ac:dyDescent="0.2">
      <c r="A613">
        <v>5.1637899999999997</v>
      </c>
      <c r="B613">
        <v>23.550999999999998</v>
      </c>
      <c r="C613">
        <f t="shared" si="9"/>
        <v>1.4191240359099999</v>
      </c>
    </row>
    <row r="614" spans="1:3" x14ac:dyDescent="0.2">
      <c r="A614">
        <v>5.1724100000000002</v>
      </c>
      <c r="B614">
        <v>24.271999999999998</v>
      </c>
      <c r="C614">
        <f t="shared" si="9"/>
        <v>1.4286383014399999</v>
      </c>
    </row>
    <row r="615" spans="1:3" x14ac:dyDescent="0.2">
      <c r="A615">
        <v>5.1810299999999998</v>
      </c>
      <c r="B615">
        <v>24.291</v>
      </c>
      <c r="C615">
        <f t="shared" si="9"/>
        <v>1.42888775871</v>
      </c>
    </row>
    <row r="616" spans="1:3" x14ac:dyDescent="0.2">
      <c r="A616">
        <v>5.1896599999999999</v>
      </c>
      <c r="B616">
        <v>24.544</v>
      </c>
      <c r="C616">
        <f t="shared" si="9"/>
        <v>1.43220328576</v>
      </c>
    </row>
    <row r="617" spans="1:3" x14ac:dyDescent="0.2">
      <c r="A617">
        <v>5.1982799999999996</v>
      </c>
      <c r="B617">
        <v>26.574000000000002</v>
      </c>
      <c r="C617">
        <f t="shared" si="9"/>
        <v>1.45838902716</v>
      </c>
    </row>
    <row r="618" spans="1:3" x14ac:dyDescent="0.2">
      <c r="A618">
        <v>5.2069000000000001</v>
      </c>
      <c r="B618">
        <v>29.164999999999999</v>
      </c>
      <c r="C618">
        <f t="shared" si="9"/>
        <v>1.4907337497499999</v>
      </c>
    </row>
    <row r="619" spans="1:3" x14ac:dyDescent="0.2">
      <c r="A619">
        <v>5.2155199999999997</v>
      </c>
      <c r="B619">
        <v>30.535</v>
      </c>
      <c r="C619">
        <f t="shared" si="9"/>
        <v>1.5073477397500001</v>
      </c>
    </row>
    <row r="620" spans="1:3" x14ac:dyDescent="0.2">
      <c r="A620">
        <v>5.2241400000000002</v>
      </c>
      <c r="B620">
        <v>31.122</v>
      </c>
      <c r="C620">
        <f t="shared" si="9"/>
        <v>1.5143629004400001</v>
      </c>
    </row>
    <row r="621" spans="1:3" x14ac:dyDescent="0.2">
      <c r="A621">
        <v>5.2327599999999999</v>
      </c>
      <c r="B621">
        <v>31.38</v>
      </c>
      <c r="C621">
        <f t="shared" si="9"/>
        <v>1.517426604</v>
      </c>
    </row>
    <row r="622" spans="1:3" x14ac:dyDescent="0.2">
      <c r="A622">
        <v>5.2413800000000004</v>
      </c>
      <c r="B622">
        <v>31.042999999999999</v>
      </c>
      <c r="C622">
        <f t="shared" si="9"/>
        <v>1.51342239359</v>
      </c>
    </row>
    <row r="623" spans="1:3" x14ac:dyDescent="0.2">
      <c r="A623">
        <v>5.25</v>
      </c>
      <c r="B623">
        <v>30.974</v>
      </c>
      <c r="C623">
        <f t="shared" si="9"/>
        <v>1.5126000191600002</v>
      </c>
    </row>
    <row r="624" spans="1:3" x14ac:dyDescent="0.2">
      <c r="A624">
        <v>5.2586199999999996</v>
      </c>
      <c r="B624">
        <v>32.225000000000001</v>
      </c>
      <c r="C624">
        <f t="shared" si="9"/>
        <v>1.52737694375</v>
      </c>
    </row>
    <row r="625" spans="1:3" x14ac:dyDescent="0.2">
      <c r="A625">
        <v>5.2672400000000001</v>
      </c>
      <c r="B625">
        <v>33.198999999999998</v>
      </c>
      <c r="C625">
        <f t="shared" si="9"/>
        <v>1.5386868759100001</v>
      </c>
    </row>
    <row r="626" spans="1:3" x14ac:dyDescent="0.2">
      <c r="A626">
        <v>5.2758599999999998</v>
      </c>
      <c r="B626">
        <v>33.776000000000003</v>
      </c>
      <c r="C626">
        <f t="shared" si="9"/>
        <v>1.54530636416</v>
      </c>
    </row>
    <row r="627" spans="1:3" x14ac:dyDescent="0.2">
      <c r="A627">
        <v>5.2844800000000003</v>
      </c>
      <c r="B627">
        <v>34.106000000000002</v>
      </c>
      <c r="C627">
        <f t="shared" si="9"/>
        <v>1.5490652687600002</v>
      </c>
    </row>
    <row r="628" spans="1:3" x14ac:dyDescent="0.2">
      <c r="A628">
        <v>5.2930999999999999</v>
      </c>
      <c r="B628">
        <v>34.402000000000001</v>
      </c>
      <c r="C628">
        <f t="shared" si="9"/>
        <v>1.55242021564</v>
      </c>
    </row>
    <row r="629" spans="1:3" x14ac:dyDescent="0.2">
      <c r="A629">
        <v>5.3017200000000004</v>
      </c>
      <c r="B629">
        <v>34.704999999999998</v>
      </c>
      <c r="C629">
        <f t="shared" si="9"/>
        <v>1.5558381677499999</v>
      </c>
    </row>
    <row r="630" spans="1:3" x14ac:dyDescent="0.2">
      <c r="A630">
        <v>5.3103400000000001</v>
      </c>
      <c r="B630">
        <v>34.854999999999997</v>
      </c>
      <c r="C630">
        <f t="shared" si="9"/>
        <v>1.5575241077499999</v>
      </c>
    </row>
    <row r="631" spans="1:3" x14ac:dyDescent="0.2">
      <c r="A631">
        <v>5.3189700000000002</v>
      </c>
      <c r="B631">
        <v>34.942</v>
      </c>
      <c r="C631">
        <f t="shared" si="9"/>
        <v>1.55850009724</v>
      </c>
    </row>
    <row r="632" spans="1:3" x14ac:dyDescent="0.2">
      <c r="A632">
        <v>5.3275899999999998</v>
      </c>
      <c r="B632">
        <v>35.277000000000001</v>
      </c>
      <c r="C632">
        <f t="shared" si="9"/>
        <v>1.5622454943899999</v>
      </c>
    </row>
    <row r="633" spans="1:3" x14ac:dyDescent="0.2">
      <c r="A633">
        <v>5.3362100000000003</v>
      </c>
      <c r="B633">
        <v>35.822000000000003</v>
      </c>
      <c r="C633">
        <f t="shared" si="9"/>
        <v>1.5682955884400001</v>
      </c>
    </row>
    <row r="634" spans="1:3" x14ac:dyDescent="0.2">
      <c r="A634">
        <v>5.34483</v>
      </c>
      <c r="B634">
        <v>35.909999999999997</v>
      </c>
      <c r="C634">
        <f t="shared" si="9"/>
        <v>1.5692674709999999</v>
      </c>
    </row>
    <row r="635" spans="1:3" x14ac:dyDescent="0.2">
      <c r="A635">
        <v>5.3534499999999996</v>
      </c>
      <c r="B635">
        <v>34.816000000000003</v>
      </c>
      <c r="C635">
        <f t="shared" si="9"/>
        <v>1.5570861529600002</v>
      </c>
    </row>
    <row r="636" spans="1:3" x14ac:dyDescent="0.2">
      <c r="A636">
        <v>5.3620700000000001</v>
      </c>
      <c r="B636">
        <v>33.051000000000002</v>
      </c>
      <c r="C636">
        <f t="shared" si="9"/>
        <v>1.53697932591</v>
      </c>
    </row>
    <row r="637" spans="1:3" x14ac:dyDescent="0.2">
      <c r="A637">
        <v>5.3706899999999997</v>
      </c>
      <c r="B637">
        <v>30.954999999999998</v>
      </c>
      <c r="C637">
        <f t="shared" si="9"/>
        <v>1.5123734177500001</v>
      </c>
    </row>
    <row r="638" spans="1:3" x14ac:dyDescent="0.2">
      <c r="A638">
        <v>5.3793100000000003</v>
      </c>
      <c r="B638">
        <v>29.594000000000001</v>
      </c>
      <c r="C638">
        <f t="shared" si="9"/>
        <v>1.4959725647600002</v>
      </c>
    </row>
    <row r="639" spans="1:3" x14ac:dyDescent="0.2">
      <c r="A639">
        <v>5.3879299999999999</v>
      </c>
      <c r="B639">
        <v>28.548999999999999</v>
      </c>
      <c r="C639">
        <f t="shared" si="9"/>
        <v>1.48315341391</v>
      </c>
    </row>
    <row r="640" spans="1:3" x14ac:dyDescent="0.2">
      <c r="A640">
        <v>5.3965500000000004</v>
      </c>
      <c r="B640">
        <v>27.151</v>
      </c>
      <c r="C640">
        <f t="shared" si="9"/>
        <v>1.4656965879099999</v>
      </c>
    </row>
    <row r="641" spans="1:3" x14ac:dyDescent="0.2">
      <c r="A641">
        <v>5.40517</v>
      </c>
      <c r="B641">
        <v>24.263999999999999</v>
      </c>
      <c r="C641">
        <f t="shared" si="9"/>
        <v>1.4285332473599999</v>
      </c>
    </row>
    <row r="642" spans="1:3" x14ac:dyDescent="0.2">
      <c r="A642">
        <v>5.4137899999999997</v>
      </c>
      <c r="B642">
        <v>20.954999999999998</v>
      </c>
      <c r="C642">
        <f t="shared" si="9"/>
        <v>1.38409241775</v>
      </c>
    </row>
    <row r="643" spans="1:3" x14ac:dyDescent="0.2">
      <c r="A643">
        <v>5.4224100000000002</v>
      </c>
      <c r="B643">
        <v>17.835999999999999</v>
      </c>
      <c r="C643">
        <f t="shared" si="9"/>
        <v>1.34039893936</v>
      </c>
    </row>
    <row r="644" spans="1:3" x14ac:dyDescent="0.2">
      <c r="A644">
        <v>5.4310299999999998</v>
      </c>
      <c r="B644">
        <v>15.217000000000001</v>
      </c>
      <c r="C644">
        <f t="shared" si="9"/>
        <v>1.30235736199</v>
      </c>
    </row>
    <row r="645" spans="1:3" x14ac:dyDescent="0.2">
      <c r="A645">
        <v>5.4396599999999999</v>
      </c>
      <c r="B645">
        <v>13.842000000000001</v>
      </c>
      <c r="C645">
        <f t="shared" si="9"/>
        <v>1.28189091324</v>
      </c>
    </row>
    <row r="646" spans="1:3" x14ac:dyDescent="0.2">
      <c r="A646">
        <v>5.4482799999999996</v>
      </c>
      <c r="B646">
        <v>13.952</v>
      </c>
      <c r="C646">
        <f t="shared" si="9"/>
        <v>1.28354075264</v>
      </c>
    </row>
    <row r="647" spans="1:3" x14ac:dyDescent="0.2">
      <c r="A647">
        <v>5.4569000000000001</v>
      </c>
      <c r="B647">
        <v>14.031000000000001</v>
      </c>
      <c r="C647">
        <f t="shared" si="9"/>
        <v>1.2847242935100001</v>
      </c>
    </row>
    <row r="648" spans="1:3" x14ac:dyDescent="0.2">
      <c r="A648">
        <v>5.4655199999999997</v>
      </c>
      <c r="B648">
        <v>13.554</v>
      </c>
      <c r="C648">
        <f t="shared" si="9"/>
        <v>1.2775610175600001</v>
      </c>
    </row>
    <row r="649" spans="1:3" x14ac:dyDescent="0.2">
      <c r="A649">
        <v>5.4741400000000002</v>
      </c>
      <c r="B649">
        <v>11.714</v>
      </c>
      <c r="C649">
        <f t="shared" si="9"/>
        <v>1.24954539836</v>
      </c>
    </row>
    <row r="650" spans="1:3" x14ac:dyDescent="0.2">
      <c r="A650">
        <v>5.4827599999999999</v>
      </c>
      <c r="B650">
        <v>8.66</v>
      </c>
      <c r="C650">
        <f t="shared" si="9"/>
        <v>1.2017003959999999</v>
      </c>
    </row>
    <row r="651" spans="1:3" x14ac:dyDescent="0.2">
      <c r="A651">
        <v>5.4913800000000004</v>
      </c>
      <c r="B651">
        <v>6.5640000000000001</v>
      </c>
      <c r="C651">
        <f t="shared" si="9"/>
        <v>1.1678922513600001</v>
      </c>
    </row>
    <row r="652" spans="1:3" x14ac:dyDescent="0.2">
      <c r="A652">
        <v>5.5</v>
      </c>
      <c r="B652">
        <v>5.6550000000000002</v>
      </c>
      <c r="C652">
        <f t="shared" si="9"/>
        <v>1.1529843877499999</v>
      </c>
    </row>
    <row r="653" spans="1:3" x14ac:dyDescent="0.2">
      <c r="A653">
        <v>5.5086199999999996</v>
      </c>
      <c r="B653">
        <v>5.1100000000000003</v>
      </c>
      <c r="C653">
        <f t="shared" si="9"/>
        <v>1.1439749109999999</v>
      </c>
    </row>
    <row r="654" spans="1:3" x14ac:dyDescent="0.2">
      <c r="A654">
        <v>5.5172400000000001</v>
      </c>
      <c r="B654">
        <v>5.0570000000000004</v>
      </c>
      <c r="C654">
        <f t="shared" si="9"/>
        <v>1.14309590759</v>
      </c>
    </row>
    <row r="655" spans="1:3" x14ac:dyDescent="0.2">
      <c r="A655">
        <v>5.5258599999999998</v>
      </c>
      <c r="B655">
        <v>4.9189999999999996</v>
      </c>
      <c r="C655">
        <f t="shared" ref="C655:C718" si="10">(-0.00009*(B655^2))+0.0175*B655+1.0569</f>
        <v>1.1408048095100001</v>
      </c>
    </row>
    <row r="656" spans="1:3" x14ac:dyDescent="0.2">
      <c r="A656">
        <v>5.5344800000000003</v>
      </c>
      <c r="B656">
        <v>4.6429999999999998</v>
      </c>
      <c r="C656">
        <f t="shared" si="10"/>
        <v>1.13621232959</v>
      </c>
    </row>
    <row r="657" spans="1:3" x14ac:dyDescent="0.2">
      <c r="A657">
        <v>5.5430999999999999</v>
      </c>
      <c r="B657">
        <v>4.5460000000000003</v>
      </c>
      <c r="C657">
        <f t="shared" si="10"/>
        <v>1.1345950495599999</v>
      </c>
    </row>
    <row r="658" spans="1:3" x14ac:dyDescent="0.2">
      <c r="A658">
        <v>5.5517200000000004</v>
      </c>
      <c r="B658">
        <v>4.6790000000000003</v>
      </c>
      <c r="C658">
        <f t="shared" si="10"/>
        <v>1.1368121263099999</v>
      </c>
    </row>
    <row r="659" spans="1:3" x14ac:dyDescent="0.2">
      <c r="A659">
        <v>5.5603400000000001</v>
      </c>
      <c r="B659">
        <v>5.1559999999999997</v>
      </c>
      <c r="C659">
        <f t="shared" si="10"/>
        <v>1.14473740976</v>
      </c>
    </row>
    <row r="660" spans="1:3" x14ac:dyDescent="0.2">
      <c r="A660">
        <v>5.5689700000000002</v>
      </c>
      <c r="B660">
        <v>5.6050000000000004</v>
      </c>
      <c r="C660">
        <f t="shared" si="10"/>
        <v>1.15216005775</v>
      </c>
    </row>
    <row r="661" spans="1:3" x14ac:dyDescent="0.2">
      <c r="A661">
        <v>5.5775899999999998</v>
      </c>
      <c r="B661">
        <v>5.6</v>
      </c>
      <c r="C661">
        <f t="shared" si="10"/>
        <v>1.1520775999999999</v>
      </c>
    </row>
    <row r="662" spans="1:3" x14ac:dyDescent="0.2">
      <c r="A662">
        <v>5.5862100000000003</v>
      </c>
      <c r="B662">
        <v>6.1459999999999999</v>
      </c>
      <c r="C662">
        <f t="shared" si="10"/>
        <v>1.1610554015599999</v>
      </c>
    </row>
    <row r="663" spans="1:3" x14ac:dyDescent="0.2">
      <c r="A663">
        <v>5.59483</v>
      </c>
      <c r="B663">
        <v>8.266</v>
      </c>
      <c r="C663">
        <f t="shared" si="10"/>
        <v>1.19540559196</v>
      </c>
    </row>
    <row r="664" spans="1:3" x14ac:dyDescent="0.2">
      <c r="A664">
        <v>5.6034499999999996</v>
      </c>
      <c r="B664">
        <v>11.616</v>
      </c>
      <c r="C664">
        <f t="shared" si="10"/>
        <v>1.2480361689599999</v>
      </c>
    </row>
    <row r="665" spans="1:3" x14ac:dyDescent="0.2">
      <c r="A665">
        <v>5.6120700000000001</v>
      </c>
      <c r="B665">
        <v>12.337999999999999</v>
      </c>
      <c r="C665">
        <f t="shared" si="10"/>
        <v>1.25911463804</v>
      </c>
    </row>
    <row r="666" spans="1:3" x14ac:dyDescent="0.2">
      <c r="A666">
        <v>5.6206899999999997</v>
      </c>
      <c r="B666">
        <v>9.4190000000000005</v>
      </c>
      <c r="C666">
        <f t="shared" si="10"/>
        <v>1.2137479195100001</v>
      </c>
    </row>
    <row r="667" spans="1:3" x14ac:dyDescent="0.2">
      <c r="A667">
        <v>5.6293100000000003</v>
      </c>
      <c r="B667">
        <v>6.9080000000000004</v>
      </c>
      <c r="C667">
        <f t="shared" si="10"/>
        <v>1.1734951582399999</v>
      </c>
    </row>
    <row r="668" spans="1:3" x14ac:dyDescent="0.2">
      <c r="A668">
        <v>5.6379299999999999</v>
      </c>
      <c r="B668">
        <v>5.3529999999999998</v>
      </c>
      <c r="C668">
        <f t="shared" si="10"/>
        <v>1.1479985851899999</v>
      </c>
    </row>
    <row r="669" spans="1:3" x14ac:dyDescent="0.2">
      <c r="A669">
        <v>5.6465500000000004</v>
      </c>
      <c r="B669">
        <v>5.2759999999999998</v>
      </c>
      <c r="C669">
        <f t="shared" si="10"/>
        <v>1.1467247441599999</v>
      </c>
    </row>
    <row r="670" spans="1:3" x14ac:dyDescent="0.2">
      <c r="A670">
        <v>5.65517</v>
      </c>
      <c r="B670">
        <v>6.2290000000000001</v>
      </c>
      <c r="C670">
        <f t="shared" si="10"/>
        <v>1.1624154603099999</v>
      </c>
    </row>
    <row r="671" spans="1:3" x14ac:dyDescent="0.2">
      <c r="A671">
        <v>5.6637899999999997</v>
      </c>
      <c r="B671">
        <v>6.8479999999999999</v>
      </c>
      <c r="C671">
        <f t="shared" si="10"/>
        <v>1.1725194406399999</v>
      </c>
    </row>
    <row r="672" spans="1:3" x14ac:dyDescent="0.2">
      <c r="A672">
        <v>5.6724100000000002</v>
      </c>
      <c r="B672">
        <v>6.798</v>
      </c>
      <c r="C672">
        <f t="shared" si="10"/>
        <v>1.17170584764</v>
      </c>
    </row>
    <row r="673" spans="1:3" x14ac:dyDescent="0.2">
      <c r="A673">
        <v>5.6810299999999998</v>
      </c>
      <c r="B673">
        <v>6.7670000000000003</v>
      </c>
      <c r="C673">
        <f t="shared" si="10"/>
        <v>1.17120119399</v>
      </c>
    </row>
    <row r="674" spans="1:3" x14ac:dyDescent="0.2">
      <c r="A674">
        <v>5.6896599999999999</v>
      </c>
      <c r="B674">
        <v>8.9600000000000009</v>
      </c>
      <c r="C674">
        <f t="shared" si="10"/>
        <v>1.2064746559999999</v>
      </c>
    </row>
    <row r="675" spans="1:3" x14ac:dyDescent="0.2">
      <c r="A675">
        <v>5.6982799999999996</v>
      </c>
      <c r="B675">
        <v>10.518000000000001</v>
      </c>
      <c r="C675">
        <f t="shared" si="10"/>
        <v>1.2310084508400001</v>
      </c>
    </row>
    <row r="676" spans="1:3" x14ac:dyDescent="0.2">
      <c r="A676">
        <v>5.7069000000000001</v>
      </c>
      <c r="B676">
        <v>9.66</v>
      </c>
      <c r="C676">
        <f t="shared" si="10"/>
        <v>1.2175515959999998</v>
      </c>
    </row>
    <row r="677" spans="1:3" x14ac:dyDescent="0.2">
      <c r="A677">
        <v>5.7155199999999997</v>
      </c>
      <c r="B677">
        <v>7.3140000000000001</v>
      </c>
      <c r="C677">
        <f t="shared" si="10"/>
        <v>1.1800804863600001</v>
      </c>
    </row>
    <row r="678" spans="1:3" x14ac:dyDescent="0.2">
      <c r="A678">
        <v>5.7241400000000002</v>
      </c>
      <c r="B678">
        <v>5.0970000000000004</v>
      </c>
      <c r="C678">
        <f t="shared" si="10"/>
        <v>1.1437593531899999</v>
      </c>
    </row>
    <row r="679" spans="1:3" x14ac:dyDescent="0.2">
      <c r="A679">
        <v>5.7327599999999999</v>
      </c>
      <c r="B679">
        <v>4.5599999999999996</v>
      </c>
      <c r="C679">
        <f t="shared" si="10"/>
        <v>1.1348285759999999</v>
      </c>
    </row>
    <row r="680" spans="1:3" x14ac:dyDescent="0.2">
      <c r="A680">
        <v>5.7413800000000004</v>
      </c>
      <c r="B680">
        <v>5.0119999999999996</v>
      </c>
      <c r="C680">
        <f t="shared" si="10"/>
        <v>1.14234918704</v>
      </c>
    </row>
    <row r="681" spans="1:3" x14ac:dyDescent="0.2">
      <c r="A681">
        <v>5.75</v>
      </c>
      <c r="B681">
        <v>5.3940000000000001</v>
      </c>
      <c r="C681">
        <f t="shared" si="10"/>
        <v>1.14867642876</v>
      </c>
    </row>
    <row r="682" spans="1:3" x14ac:dyDescent="0.2">
      <c r="A682">
        <v>5.7586199999999996</v>
      </c>
      <c r="B682">
        <v>5.4240000000000004</v>
      </c>
      <c r="C682">
        <f t="shared" si="10"/>
        <v>1.1491722201599999</v>
      </c>
    </row>
    <row r="683" spans="1:3" x14ac:dyDescent="0.2">
      <c r="A683">
        <v>5.7672400000000001</v>
      </c>
      <c r="B683">
        <v>5.3689999999999998</v>
      </c>
      <c r="C683">
        <f t="shared" si="10"/>
        <v>1.1482631455099999</v>
      </c>
    </row>
    <row r="684" spans="1:3" x14ac:dyDescent="0.2">
      <c r="A684">
        <v>5.7758599999999998</v>
      </c>
      <c r="B684">
        <v>5.3949999999999996</v>
      </c>
      <c r="C684">
        <f t="shared" si="10"/>
        <v>1.14869295775</v>
      </c>
    </row>
    <row r="685" spans="1:3" x14ac:dyDescent="0.2">
      <c r="A685">
        <v>5.7844800000000003</v>
      </c>
      <c r="B685">
        <v>6.42</v>
      </c>
      <c r="C685">
        <f t="shared" si="10"/>
        <v>1.1655405239999999</v>
      </c>
    </row>
    <row r="686" spans="1:3" x14ac:dyDescent="0.2">
      <c r="A686">
        <v>5.7930999999999999</v>
      </c>
      <c r="B686">
        <v>8.3109999999999999</v>
      </c>
      <c r="C686">
        <f t="shared" si="10"/>
        <v>1.1961259551099999</v>
      </c>
    </row>
    <row r="687" spans="1:3" x14ac:dyDescent="0.2">
      <c r="A687">
        <v>5.8017200000000004</v>
      </c>
      <c r="B687">
        <v>8.8569999999999993</v>
      </c>
      <c r="C687">
        <f t="shared" si="10"/>
        <v>1.20483731959</v>
      </c>
    </row>
    <row r="688" spans="1:3" x14ac:dyDescent="0.2">
      <c r="A688">
        <v>5.8103400000000001</v>
      </c>
      <c r="B688">
        <v>7.7359999999999998</v>
      </c>
      <c r="C688">
        <f t="shared" si="10"/>
        <v>1.1868938873599999</v>
      </c>
    </row>
    <row r="689" spans="1:3" x14ac:dyDescent="0.2">
      <c r="A689">
        <v>5.8189700000000002</v>
      </c>
      <c r="B689">
        <v>6.77</v>
      </c>
      <c r="C689">
        <f t="shared" si="10"/>
        <v>1.171250039</v>
      </c>
    </row>
    <row r="690" spans="1:3" x14ac:dyDescent="0.2">
      <c r="A690">
        <v>5.8275899999999998</v>
      </c>
      <c r="B690">
        <v>6.173</v>
      </c>
      <c r="C690">
        <f t="shared" si="10"/>
        <v>1.16149796639</v>
      </c>
    </row>
    <row r="691" spans="1:3" x14ac:dyDescent="0.2">
      <c r="A691">
        <v>5.8362100000000003</v>
      </c>
      <c r="B691">
        <v>6.0620000000000003</v>
      </c>
      <c r="C691">
        <f t="shared" si="10"/>
        <v>1.15967769404</v>
      </c>
    </row>
    <row r="692" spans="1:3" x14ac:dyDescent="0.2">
      <c r="A692">
        <v>5.84483</v>
      </c>
      <c r="B692">
        <v>5.9749999999999996</v>
      </c>
      <c r="C692">
        <f t="shared" si="10"/>
        <v>1.1582494437499999</v>
      </c>
    </row>
    <row r="693" spans="1:3" x14ac:dyDescent="0.2">
      <c r="A693">
        <v>5.8534499999999996</v>
      </c>
      <c r="B693">
        <v>6.2480000000000002</v>
      </c>
      <c r="C693">
        <f t="shared" si="10"/>
        <v>1.1627266246399999</v>
      </c>
    </row>
    <row r="694" spans="1:3" x14ac:dyDescent="0.2">
      <c r="A694">
        <v>5.8620700000000001</v>
      </c>
      <c r="B694">
        <v>6.2510000000000003</v>
      </c>
      <c r="C694">
        <f t="shared" si="10"/>
        <v>1.16277574991</v>
      </c>
    </row>
    <row r="695" spans="1:3" x14ac:dyDescent="0.2">
      <c r="A695">
        <v>5.8706899999999997</v>
      </c>
      <c r="B695">
        <v>6.2530000000000001</v>
      </c>
      <c r="C695">
        <f t="shared" si="10"/>
        <v>1.1628084991900001</v>
      </c>
    </row>
    <row r="696" spans="1:3" x14ac:dyDescent="0.2">
      <c r="A696">
        <v>5.8793100000000003</v>
      </c>
      <c r="B696">
        <v>6.3520000000000003</v>
      </c>
      <c r="C696">
        <f t="shared" si="10"/>
        <v>1.1644286886399999</v>
      </c>
    </row>
    <row r="697" spans="1:3" x14ac:dyDescent="0.2">
      <c r="A697">
        <v>5.8879299999999999</v>
      </c>
      <c r="B697">
        <v>6.3529999999999998</v>
      </c>
      <c r="C697">
        <f t="shared" si="10"/>
        <v>1.1644450451899999</v>
      </c>
    </row>
    <row r="698" spans="1:3" x14ac:dyDescent="0.2">
      <c r="A698">
        <v>5.8965500000000004</v>
      </c>
      <c r="B698">
        <v>6.9580000000000002</v>
      </c>
      <c r="C698">
        <f t="shared" si="10"/>
        <v>1.1743077612399999</v>
      </c>
    </row>
    <row r="699" spans="1:3" x14ac:dyDescent="0.2">
      <c r="A699">
        <v>5.90517</v>
      </c>
      <c r="B699">
        <v>10.55</v>
      </c>
      <c r="C699">
        <f t="shared" si="10"/>
        <v>1.2315077750000001</v>
      </c>
    </row>
    <row r="700" spans="1:3" x14ac:dyDescent="0.2">
      <c r="A700">
        <v>5.9137899999999997</v>
      </c>
      <c r="B700">
        <v>13.978</v>
      </c>
      <c r="C700">
        <f t="shared" si="10"/>
        <v>1.28393039644</v>
      </c>
    </row>
    <row r="701" spans="1:3" x14ac:dyDescent="0.2">
      <c r="A701">
        <v>5.9224100000000002</v>
      </c>
      <c r="B701">
        <v>13.429</v>
      </c>
      <c r="C701">
        <f t="shared" si="10"/>
        <v>1.27567707631</v>
      </c>
    </row>
    <row r="702" spans="1:3" x14ac:dyDescent="0.2">
      <c r="A702">
        <v>5.9310299999999998</v>
      </c>
      <c r="B702">
        <v>9.8970000000000002</v>
      </c>
      <c r="C702">
        <f t="shared" si="10"/>
        <v>1.2212819451899999</v>
      </c>
    </row>
    <row r="703" spans="1:3" x14ac:dyDescent="0.2">
      <c r="A703">
        <v>5.9396599999999999</v>
      </c>
      <c r="B703">
        <v>6.7169999999999996</v>
      </c>
      <c r="C703">
        <f t="shared" si="10"/>
        <v>1.1703868719899999</v>
      </c>
    </row>
    <row r="704" spans="1:3" x14ac:dyDescent="0.2">
      <c r="A704">
        <v>5.9482799999999996</v>
      </c>
      <c r="B704">
        <v>5.2270000000000003</v>
      </c>
      <c r="C704">
        <f t="shared" si="10"/>
        <v>1.1459135623899999</v>
      </c>
    </row>
    <row r="705" spans="1:3" x14ac:dyDescent="0.2">
      <c r="A705">
        <v>5.9569000000000001</v>
      </c>
      <c r="B705">
        <v>5.5190000000000001</v>
      </c>
      <c r="C705">
        <f t="shared" si="10"/>
        <v>1.1507411575099999</v>
      </c>
    </row>
    <row r="706" spans="1:3" x14ac:dyDescent="0.2">
      <c r="A706">
        <v>5.9655199999999997</v>
      </c>
      <c r="B706">
        <v>6.2270000000000003</v>
      </c>
      <c r="C706">
        <f t="shared" si="10"/>
        <v>1.16238270239</v>
      </c>
    </row>
    <row r="707" spans="1:3" x14ac:dyDescent="0.2">
      <c r="A707">
        <v>5.9741400000000002</v>
      </c>
      <c r="B707">
        <v>6.7770000000000001</v>
      </c>
      <c r="C707">
        <f t="shared" si="10"/>
        <v>1.17136400439</v>
      </c>
    </row>
    <row r="708" spans="1:3" x14ac:dyDescent="0.2">
      <c r="A708">
        <v>5.9827599999999999</v>
      </c>
      <c r="B708">
        <v>7.4809999999999999</v>
      </c>
      <c r="C708">
        <f t="shared" si="10"/>
        <v>1.18278061751</v>
      </c>
    </row>
    <row r="709" spans="1:3" x14ac:dyDescent="0.2">
      <c r="A709">
        <v>5.9913800000000004</v>
      </c>
      <c r="B709">
        <v>9.5229999999999997</v>
      </c>
      <c r="C709">
        <f t="shared" si="10"/>
        <v>1.21539062239</v>
      </c>
    </row>
    <row r="710" spans="1:3" x14ac:dyDescent="0.2">
      <c r="A710">
        <v>6</v>
      </c>
      <c r="B710">
        <v>10.996</v>
      </c>
      <c r="C710">
        <f t="shared" si="10"/>
        <v>1.2384479185599999</v>
      </c>
    </row>
    <row r="711" spans="1:3" x14ac:dyDescent="0.2">
      <c r="A711">
        <v>6.0086199999999996</v>
      </c>
      <c r="B711">
        <v>10.609</v>
      </c>
      <c r="C711">
        <f t="shared" si="10"/>
        <v>1.23242792071</v>
      </c>
    </row>
    <row r="712" spans="1:3" x14ac:dyDescent="0.2">
      <c r="A712">
        <v>6.0172400000000001</v>
      </c>
      <c r="B712">
        <v>8.9220000000000006</v>
      </c>
      <c r="C712">
        <f t="shared" si="10"/>
        <v>1.2058708124399999</v>
      </c>
    </row>
    <row r="713" spans="1:3" x14ac:dyDescent="0.2">
      <c r="A713">
        <v>6.0258599999999998</v>
      </c>
      <c r="B713">
        <v>7.0490000000000004</v>
      </c>
      <c r="C713">
        <f t="shared" si="10"/>
        <v>1.17578554391</v>
      </c>
    </row>
    <row r="714" spans="1:3" x14ac:dyDescent="0.2">
      <c r="A714">
        <v>6.0344800000000003</v>
      </c>
      <c r="B714">
        <v>6.0670000000000002</v>
      </c>
      <c r="C714">
        <f t="shared" si="10"/>
        <v>1.15975973599</v>
      </c>
    </row>
    <row r="715" spans="1:3" x14ac:dyDescent="0.2">
      <c r="A715">
        <v>6.0430999999999999</v>
      </c>
      <c r="B715">
        <v>6.9939999999999998</v>
      </c>
      <c r="C715">
        <f t="shared" si="10"/>
        <v>1.1748925567599999</v>
      </c>
    </row>
    <row r="716" spans="1:3" x14ac:dyDescent="0.2">
      <c r="A716">
        <v>6.0517200000000004</v>
      </c>
      <c r="B716">
        <v>7.9429999999999996</v>
      </c>
      <c r="C716">
        <f t="shared" si="10"/>
        <v>1.19022428759</v>
      </c>
    </row>
    <row r="717" spans="1:3" x14ac:dyDescent="0.2">
      <c r="A717">
        <v>6.0603400000000001</v>
      </c>
      <c r="B717">
        <v>8.2850000000000001</v>
      </c>
      <c r="C717">
        <f t="shared" si="10"/>
        <v>1.19570978975</v>
      </c>
    </row>
    <row r="718" spans="1:3" x14ac:dyDescent="0.2">
      <c r="A718">
        <v>6.0689700000000002</v>
      </c>
      <c r="B718">
        <v>7.8979999999999997</v>
      </c>
      <c r="C718">
        <f t="shared" si="10"/>
        <v>1.1895009436399999</v>
      </c>
    </row>
    <row r="719" spans="1:3" x14ac:dyDescent="0.2">
      <c r="A719">
        <v>6.0775899999999998</v>
      </c>
      <c r="B719">
        <v>6.7919999999999998</v>
      </c>
      <c r="C719">
        <f t="shared" ref="C719:C782" si="11">(-0.00009*(B719^2))+0.0175*B719+1.0569</f>
        <v>1.1716081862399998</v>
      </c>
    </row>
    <row r="720" spans="1:3" x14ac:dyDescent="0.2">
      <c r="A720">
        <v>6.0862100000000003</v>
      </c>
      <c r="B720">
        <v>6.6210000000000004</v>
      </c>
      <c r="C720">
        <f t="shared" si="11"/>
        <v>1.16882211231</v>
      </c>
    </row>
    <row r="721" spans="1:3" x14ac:dyDescent="0.2">
      <c r="A721">
        <v>6.09483</v>
      </c>
      <c r="B721">
        <v>9.0990000000000002</v>
      </c>
      <c r="C721">
        <f t="shared" si="11"/>
        <v>1.20868123791</v>
      </c>
    </row>
    <row r="722" spans="1:3" x14ac:dyDescent="0.2">
      <c r="A722">
        <v>6.1034499999999996</v>
      </c>
      <c r="B722">
        <v>12.186</v>
      </c>
      <c r="C722">
        <f t="shared" si="11"/>
        <v>1.2567901263599999</v>
      </c>
    </row>
    <row r="723" spans="1:3" x14ac:dyDescent="0.2">
      <c r="A723">
        <v>6.1120700000000001</v>
      </c>
      <c r="B723">
        <v>12.369</v>
      </c>
      <c r="C723">
        <f t="shared" si="11"/>
        <v>1.2595882055100001</v>
      </c>
    </row>
    <row r="724" spans="1:3" x14ac:dyDescent="0.2">
      <c r="A724">
        <v>6.1206899999999997</v>
      </c>
      <c r="B724">
        <v>10.587</v>
      </c>
      <c r="C724">
        <f t="shared" si="11"/>
        <v>1.23208488879</v>
      </c>
    </row>
    <row r="725" spans="1:3" x14ac:dyDescent="0.2">
      <c r="A725">
        <v>6.1293100000000003</v>
      </c>
      <c r="B725">
        <v>7.5039999999999996</v>
      </c>
      <c r="C725">
        <f t="shared" si="11"/>
        <v>1.1831520985599999</v>
      </c>
    </row>
    <row r="726" spans="1:3" x14ac:dyDescent="0.2">
      <c r="A726">
        <v>6.1379299999999999</v>
      </c>
      <c r="B726">
        <v>5.6909999999999998</v>
      </c>
      <c r="C726">
        <f t="shared" si="11"/>
        <v>1.15357762671</v>
      </c>
    </row>
    <row r="727" spans="1:3" x14ac:dyDescent="0.2">
      <c r="A727">
        <v>6.1465500000000004</v>
      </c>
      <c r="B727">
        <v>5.8920000000000003</v>
      </c>
      <c r="C727">
        <f t="shared" si="11"/>
        <v>1.1568855902399999</v>
      </c>
    </row>
    <row r="728" spans="1:3" x14ac:dyDescent="0.2">
      <c r="A728">
        <v>6.15517</v>
      </c>
      <c r="B728">
        <v>6.1870000000000003</v>
      </c>
      <c r="C728">
        <f t="shared" si="11"/>
        <v>1.16172739279</v>
      </c>
    </row>
    <row r="729" spans="1:3" x14ac:dyDescent="0.2">
      <c r="A729">
        <v>6.1637899999999997</v>
      </c>
      <c r="B729">
        <v>6.7359999999999998</v>
      </c>
      <c r="C729">
        <f t="shared" si="11"/>
        <v>1.1706963673599999</v>
      </c>
    </row>
    <row r="730" spans="1:3" x14ac:dyDescent="0.2">
      <c r="A730">
        <v>6.1724100000000002</v>
      </c>
      <c r="B730">
        <v>6.577</v>
      </c>
      <c r="C730">
        <f t="shared" si="11"/>
        <v>1.1681043763899999</v>
      </c>
    </row>
    <row r="731" spans="1:3" x14ac:dyDescent="0.2">
      <c r="A731">
        <v>6.1810299999999998</v>
      </c>
      <c r="B731">
        <v>5.8540000000000001</v>
      </c>
      <c r="C731">
        <f t="shared" si="11"/>
        <v>1.15626076156</v>
      </c>
    </row>
    <row r="732" spans="1:3" x14ac:dyDescent="0.2">
      <c r="A732">
        <v>6.1896599999999999</v>
      </c>
      <c r="B732">
        <v>5.8869999999999996</v>
      </c>
      <c r="C732">
        <f t="shared" si="11"/>
        <v>1.1568033907899999</v>
      </c>
    </row>
    <row r="733" spans="1:3" x14ac:dyDescent="0.2">
      <c r="A733">
        <v>6.1982799999999996</v>
      </c>
      <c r="B733">
        <v>6.4589999999999996</v>
      </c>
      <c r="C733">
        <f t="shared" si="11"/>
        <v>1.16617781871</v>
      </c>
    </row>
    <row r="734" spans="1:3" x14ac:dyDescent="0.2">
      <c r="A734">
        <v>6.2069000000000001</v>
      </c>
      <c r="B734">
        <v>6.7279999999999998</v>
      </c>
      <c r="C734">
        <f t="shared" si="11"/>
        <v>1.17056606144</v>
      </c>
    </row>
    <row r="735" spans="1:3" x14ac:dyDescent="0.2">
      <c r="A735">
        <v>6.2155199999999997</v>
      </c>
      <c r="B735">
        <v>6.7409999999999997</v>
      </c>
      <c r="C735">
        <f t="shared" si="11"/>
        <v>1.17077780271</v>
      </c>
    </row>
    <row r="736" spans="1:3" x14ac:dyDescent="0.2">
      <c r="A736">
        <v>6.2241400000000002</v>
      </c>
      <c r="B736">
        <v>7.3440000000000003</v>
      </c>
      <c r="C736">
        <f t="shared" si="11"/>
        <v>1.1805659097599999</v>
      </c>
    </row>
    <row r="737" spans="1:3" x14ac:dyDescent="0.2">
      <c r="A737">
        <v>6.2327599999999999</v>
      </c>
      <c r="B737">
        <v>8.0259999999999998</v>
      </c>
      <c r="C737">
        <f t="shared" si="11"/>
        <v>1.19155749916</v>
      </c>
    </row>
    <row r="738" spans="1:3" x14ac:dyDescent="0.2">
      <c r="A738">
        <v>6.2413800000000004</v>
      </c>
      <c r="B738">
        <v>8.1940000000000008</v>
      </c>
      <c r="C738">
        <f t="shared" si="11"/>
        <v>1.1942522527599999</v>
      </c>
    </row>
    <row r="739" spans="1:3" x14ac:dyDescent="0.2">
      <c r="A739">
        <v>6.25</v>
      </c>
      <c r="B739">
        <v>7.6260000000000003</v>
      </c>
      <c r="C739">
        <f t="shared" si="11"/>
        <v>1.1851209711599999</v>
      </c>
    </row>
    <row r="740" spans="1:3" x14ac:dyDescent="0.2">
      <c r="A740">
        <v>6.2586199999999996</v>
      </c>
      <c r="B740">
        <v>7.1740000000000004</v>
      </c>
      <c r="C740">
        <f t="shared" si="11"/>
        <v>1.17781303516</v>
      </c>
    </row>
    <row r="741" spans="1:3" x14ac:dyDescent="0.2">
      <c r="A741">
        <v>6.2672400000000001</v>
      </c>
      <c r="B741">
        <v>7.3550000000000004</v>
      </c>
      <c r="C741">
        <f t="shared" si="11"/>
        <v>1.18074385775</v>
      </c>
    </row>
    <row r="742" spans="1:3" x14ac:dyDescent="0.2">
      <c r="A742">
        <v>6.2758599999999998</v>
      </c>
      <c r="B742">
        <v>8.0069999999999997</v>
      </c>
      <c r="C742">
        <f t="shared" si="11"/>
        <v>1.1912524155899999</v>
      </c>
    </row>
    <row r="743" spans="1:3" x14ac:dyDescent="0.2">
      <c r="A743">
        <v>6.2844800000000003</v>
      </c>
      <c r="B743">
        <v>9.952</v>
      </c>
      <c r="C743">
        <f t="shared" si="11"/>
        <v>1.2221461926399999</v>
      </c>
    </row>
    <row r="744" spans="1:3" x14ac:dyDescent="0.2">
      <c r="A744">
        <v>6.2930999999999999</v>
      </c>
      <c r="B744">
        <v>12.381</v>
      </c>
      <c r="C744">
        <f t="shared" si="11"/>
        <v>1.25977147551</v>
      </c>
    </row>
    <row r="745" spans="1:3" x14ac:dyDescent="0.2">
      <c r="A745">
        <v>6.3017200000000004</v>
      </c>
      <c r="B745">
        <v>12.327999999999999</v>
      </c>
      <c r="C745">
        <f t="shared" si="11"/>
        <v>1.25896183744</v>
      </c>
    </row>
    <row r="746" spans="1:3" x14ac:dyDescent="0.2">
      <c r="A746">
        <v>6.3103400000000001</v>
      </c>
      <c r="B746">
        <v>10.009</v>
      </c>
      <c r="C746">
        <f t="shared" si="11"/>
        <v>1.2230412927100001</v>
      </c>
    </row>
    <row r="747" spans="1:3" x14ac:dyDescent="0.2">
      <c r="A747">
        <v>6.3189700000000002</v>
      </c>
      <c r="B747">
        <v>7.5970000000000004</v>
      </c>
      <c r="C747">
        <f t="shared" si="11"/>
        <v>1.1846532031899999</v>
      </c>
    </row>
    <row r="748" spans="1:3" x14ac:dyDescent="0.2">
      <c r="A748">
        <v>6.3275899999999998</v>
      </c>
      <c r="B748">
        <v>6.2039999999999997</v>
      </c>
      <c r="C748">
        <f t="shared" si="11"/>
        <v>1.16200593456</v>
      </c>
    </row>
    <row r="749" spans="1:3" x14ac:dyDescent="0.2">
      <c r="A749">
        <v>6.3362100000000003</v>
      </c>
      <c r="B749">
        <v>6.6909999999999998</v>
      </c>
      <c r="C749">
        <f t="shared" si="11"/>
        <v>1.1699632467099998</v>
      </c>
    </row>
    <row r="750" spans="1:3" x14ac:dyDescent="0.2">
      <c r="A750">
        <v>6.34483</v>
      </c>
      <c r="B750">
        <v>9.0250000000000004</v>
      </c>
      <c r="C750">
        <f t="shared" si="11"/>
        <v>1.2075069437499999</v>
      </c>
    </row>
    <row r="751" spans="1:3" x14ac:dyDescent="0.2">
      <c r="A751">
        <v>6.3534499999999996</v>
      </c>
      <c r="B751">
        <v>11.821999999999999</v>
      </c>
      <c r="C751">
        <f t="shared" si="11"/>
        <v>1.2512066284399999</v>
      </c>
    </row>
    <row r="752" spans="1:3" x14ac:dyDescent="0.2">
      <c r="A752">
        <v>6.3620700000000001</v>
      </c>
      <c r="B752">
        <v>12.08</v>
      </c>
      <c r="C752">
        <f t="shared" si="11"/>
        <v>1.2551666239999999</v>
      </c>
    </row>
    <row r="753" spans="1:3" x14ac:dyDescent="0.2">
      <c r="A753">
        <v>6.3706899999999997</v>
      </c>
      <c r="B753">
        <v>9.8960000000000008</v>
      </c>
      <c r="C753">
        <f t="shared" si="11"/>
        <v>1.2212662265600001</v>
      </c>
    </row>
    <row r="754" spans="1:3" x14ac:dyDescent="0.2">
      <c r="A754">
        <v>6.3793100000000003</v>
      </c>
      <c r="B754">
        <v>7.617</v>
      </c>
      <c r="C754">
        <f t="shared" si="11"/>
        <v>1.1849758179899998</v>
      </c>
    </row>
    <row r="755" spans="1:3" x14ac:dyDescent="0.2">
      <c r="A755">
        <v>6.3879299999999999</v>
      </c>
      <c r="B755">
        <v>6.4219999999999997</v>
      </c>
      <c r="C755">
        <f t="shared" si="11"/>
        <v>1.16557321244</v>
      </c>
    </row>
    <row r="756" spans="1:3" x14ac:dyDescent="0.2">
      <c r="A756">
        <v>6.3965500000000004</v>
      </c>
      <c r="B756">
        <v>6.0679999999999996</v>
      </c>
      <c r="C756">
        <f t="shared" si="11"/>
        <v>1.1597761438400001</v>
      </c>
    </row>
    <row r="757" spans="1:3" x14ac:dyDescent="0.2">
      <c r="A757">
        <v>6.40517</v>
      </c>
      <c r="B757">
        <v>5.6479999999999997</v>
      </c>
      <c r="C757">
        <f t="shared" si="11"/>
        <v>1.15286900864</v>
      </c>
    </row>
    <row r="758" spans="1:3" x14ac:dyDescent="0.2">
      <c r="A758">
        <v>6.4137899999999997</v>
      </c>
      <c r="B758">
        <v>5.2770000000000001</v>
      </c>
      <c r="C758">
        <f t="shared" si="11"/>
        <v>1.1467412943899999</v>
      </c>
    </row>
    <row r="759" spans="1:3" x14ac:dyDescent="0.2">
      <c r="A759">
        <v>6.4224100000000002</v>
      </c>
      <c r="B759">
        <v>5.4169999999999998</v>
      </c>
      <c r="C759">
        <f t="shared" si="11"/>
        <v>1.1490565499900001</v>
      </c>
    </row>
    <row r="760" spans="1:3" x14ac:dyDescent="0.2">
      <c r="A760">
        <v>6.4310299999999998</v>
      </c>
      <c r="B760">
        <v>6.6820000000000004</v>
      </c>
      <c r="C760">
        <f t="shared" si="11"/>
        <v>1.1698165788399999</v>
      </c>
    </row>
    <row r="761" spans="1:3" x14ac:dyDescent="0.2">
      <c r="A761">
        <v>6.4396599999999999</v>
      </c>
      <c r="B761">
        <v>8.3870000000000005</v>
      </c>
      <c r="C761">
        <f t="shared" si="11"/>
        <v>1.19734174079</v>
      </c>
    </row>
    <row r="762" spans="1:3" x14ac:dyDescent="0.2">
      <c r="A762">
        <v>6.4482799999999996</v>
      </c>
      <c r="B762">
        <v>9.2639999999999993</v>
      </c>
      <c r="C762">
        <f t="shared" si="11"/>
        <v>1.2112960473599999</v>
      </c>
    </row>
    <row r="763" spans="1:3" x14ac:dyDescent="0.2">
      <c r="A763">
        <v>6.4569000000000001</v>
      </c>
      <c r="B763">
        <v>8.6859999999999999</v>
      </c>
      <c r="C763">
        <f t="shared" si="11"/>
        <v>1.20211480636</v>
      </c>
    </row>
    <row r="764" spans="1:3" x14ac:dyDescent="0.2">
      <c r="A764">
        <v>6.4655199999999997</v>
      </c>
      <c r="B764">
        <v>8.0559999999999992</v>
      </c>
      <c r="C764">
        <f t="shared" si="11"/>
        <v>1.1920390777600001</v>
      </c>
    </row>
    <row r="765" spans="1:3" x14ac:dyDescent="0.2">
      <c r="A765">
        <v>6.4741400000000002</v>
      </c>
      <c r="B765">
        <v>7.7539999999999996</v>
      </c>
      <c r="C765">
        <f t="shared" si="11"/>
        <v>1.18718379356</v>
      </c>
    </row>
    <row r="766" spans="1:3" x14ac:dyDescent="0.2">
      <c r="A766">
        <v>6.4827599999999999</v>
      </c>
      <c r="B766">
        <v>7.6150000000000002</v>
      </c>
      <c r="C766">
        <f t="shared" si="11"/>
        <v>1.18494355975</v>
      </c>
    </row>
    <row r="767" spans="1:3" x14ac:dyDescent="0.2">
      <c r="A767">
        <v>6.4913800000000004</v>
      </c>
      <c r="B767">
        <v>6.9820000000000002</v>
      </c>
      <c r="C767">
        <f t="shared" si="11"/>
        <v>1.17469765084</v>
      </c>
    </row>
    <row r="768" spans="1:3" x14ac:dyDescent="0.2">
      <c r="A768">
        <v>6.5</v>
      </c>
      <c r="B768">
        <v>6.032</v>
      </c>
      <c r="C768">
        <f t="shared" si="11"/>
        <v>1.15918534784</v>
      </c>
    </row>
    <row r="769" spans="1:3" x14ac:dyDescent="0.2">
      <c r="A769">
        <v>6.5086199999999996</v>
      </c>
      <c r="B769">
        <v>5.2270000000000003</v>
      </c>
      <c r="C769">
        <f t="shared" si="11"/>
        <v>1.1459135623899999</v>
      </c>
    </row>
    <row r="770" spans="1:3" x14ac:dyDescent="0.2">
      <c r="A770">
        <v>6.5172400000000001</v>
      </c>
      <c r="B770">
        <v>5.6580000000000004</v>
      </c>
      <c r="C770">
        <f t="shared" si="11"/>
        <v>1.1530338332399999</v>
      </c>
    </row>
    <row r="771" spans="1:3" x14ac:dyDescent="0.2">
      <c r="A771">
        <v>6.5258599999999998</v>
      </c>
      <c r="B771">
        <v>7.516</v>
      </c>
      <c r="C771">
        <f t="shared" si="11"/>
        <v>1.18334587696</v>
      </c>
    </row>
    <row r="772" spans="1:3" x14ac:dyDescent="0.2">
      <c r="A772">
        <v>6.5344800000000003</v>
      </c>
      <c r="B772">
        <v>9.5950000000000006</v>
      </c>
      <c r="C772">
        <f t="shared" si="11"/>
        <v>1.21652673775</v>
      </c>
    </row>
    <row r="773" spans="1:3" x14ac:dyDescent="0.2">
      <c r="A773">
        <v>6.5430999999999999</v>
      </c>
      <c r="B773">
        <v>10.486000000000001</v>
      </c>
      <c r="C773">
        <f t="shared" si="11"/>
        <v>1.23050894236</v>
      </c>
    </row>
    <row r="774" spans="1:3" x14ac:dyDescent="0.2">
      <c r="A774">
        <v>6.5517200000000004</v>
      </c>
      <c r="B774">
        <v>10.260999999999999</v>
      </c>
      <c r="C774">
        <f t="shared" si="11"/>
        <v>1.22699156911</v>
      </c>
    </row>
    <row r="775" spans="1:3" x14ac:dyDescent="0.2">
      <c r="A775">
        <v>6.5603400000000001</v>
      </c>
      <c r="B775">
        <v>8.8949999999999996</v>
      </c>
      <c r="C775">
        <f t="shared" si="11"/>
        <v>1.2054416077499999</v>
      </c>
    </row>
    <row r="776" spans="1:3" x14ac:dyDescent="0.2">
      <c r="A776">
        <v>6.5689700000000002</v>
      </c>
      <c r="B776">
        <v>7.3120000000000003</v>
      </c>
      <c r="C776">
        <f t="shared" si="11"/>
        <v>1.1800481190400001</v>
      </c>
    </row>
    <row r="777" spans="1:3" x14ac:dyDescent="0.2">
      <c r="A777">
        <v>6.5775899999999998</v>
      </c>
      <c r="B777">
        <v>7.5620000000000003</v>
      </c>
      <c r="C777">
        <f t="shared" si="11"/>
        <v>1.1840884540399998</v>
      </c>
    </row>
    <row r="778" spans="1:3" x14ac:dyDescent="0.2">
      <c r="A778">
        <v>6.5862100000000003</v>
      </c>
      <c r="B778">
        <v>8.7550000000000008</v>
      </c>
      <c r="C778">
        <f t="shared" si="11"/>
        <v>1.20321399775</v>
      </c>
    </row>
    <row r="779" spans="1:3" x14ac:dyDescent="0.2">
      <c r="A779">
        <v>6.59483</v>
      </c>
      <c r="B779">
        <v>10.09</v>
      </c>
      <c r="C779">
        <f t="shared" si="11"/>
        <v>1.2243122710000001</v>
      </c>
    </row>
    <row r="780" spans="1:3" x14ac:dyDescent="0.2">
      <c r="A780">
        <v>6.6034499999999996</v>
      </c>
      <c r="B780">
        <v>10.285</v>
      </c>
      <c r="C780">
        <f t="shared" si="11"/>
        <v>1.22736718975</v>
      </c>
    </row>
    <row r="781" spans="1:3" x14ac:dyDescent="0.2">
      <c r="A781">
        <v>6.6120700000000001</v>
      </c>
      <c r="B781">
        <v>9.5559999999999992</v>
      </c>
      <c r="C781">
        <f t="shared" si="11"/>
        <v>1.2159114577599999</v>
      </c>
    </row>
    <row r="782" spans="1:3" x14ac:dyDescent="0.2">
      <c r="A782">
        <v>6.6206899999999997</v>
      </c>
      <c r="B782">
        <v>9.9619999999999997</v>
      </c>
      <c r="C782">
        <f t="shared" si="11"/>
        <v>1.2223032700400001</v>
      </c>
    </row>
    <row r="783" spans="1:3" x14ac:dyDescent="0.2">
      <c r="A783">
        <v>6.6293100000000003</v>
      </c>
      <c r="B783">
        <v>12.101000000000001</v>
      </c>
      <c r="C783">
        <f t="shared" ref="C783:C846" si="12">(-0.00009*(B783^2))+0.0175*B783+1.0569</f>
        <v>1.25548842191</v>
      </c>
    </row>
    <row r="784" spans="1:3" x14ac:dyDescent="0.2">
      <c r="A784">
        <v>6.6379299999999999</v>
      </c>
      <c r="B784">
        <v>12.571999999999999</v>
      </c>
      <c r="C784">
        <f t="shared" si="12"/>
        <v>1.2626850334399999</v>
      </c>
    </row>
    <row r="785" spans="1:3" x14ac:dyDescent="0.2">
      <c r="A785">
        <v>6.6465500000000004</v>
      </c>
      <c r="B785">
        <v>10.6</v>
      </c>
      <c r="C785">
        <f t="shared" si="12"/>
        <v>1.2322876</v>
      </c>
    </row>
    <row r="786" spans="1:3" x14ac:dyDescent="0.2">
      <c r="A786">
        <v>6.65517</v>
      </c>
      <c r="B786">
        <v>7.6619999999999999</v>
      </c>
      <c r="C786">
        <f t="shared" si="12"/>
        <v>1.1857014380399999</v>
      </c>
    </row>
    <row r="787" spans="1:3" x14ac:dyDescent="0.2">
      <c r="A787">
        <v>6.6637899999999997</v>
      </c>
      <c r="B787">
        <v>5.2619999999999996</v>
      </c>
      <c r="C787">
        <f t="shared" si="12"/>
        <v>1.14649302204</v>
      </c>
    </row>
    <row r="788" spans="1:3" x14ac:dyDescent="0.2">
      <c r="A788">
        <v>6.6724100000000002</v>
      </c>
      <c r="B788">
        <v>4.5750000000000002</v>
      </c>
      <c r="C788">
        <f t="shared" si="12"/>
        <v>1.1350787437499998</v>
      </c>
    </row>
    <row r="789" spans="1:3" x14ac:dyDescent="0.2">
      <c r="A789">
        <v>6.6810299999999998</v>
      </c>
      <c r="B789">
        <v>4.5629999999999997</v>
      </c>
      <c r="C789">
        <f t="shared" si="12"/>
        <v>1.1348786127899999</v>
      </c>
    </row>
    <row r="790" spans="1:3" x14ac:dyDescent="0.2">
      <c r="A790">
        <v>6.6896599999999999</v>
      </c>
      <c r="B790">
        <v>4.9269999999999996</v>
      </c>
      <c r="C790">
        <f t="shared" si="12"/>
        <v>1.14093772039</v>
      </c>
    </row>
    <row r="791" spans="1:3" x14ac:dyDescent="0.2">
      <c r="A791">
        <v>6.6982799999999996</v>
      </c>
      <c r="B791">
        <v>5.5220000000000002</v>
      </c>
      <c r="C791">
        <f t="shared" si="12"/>
        <v>1.15079067644</v>
      </c>
    </row>
    <row r="792" spans="1:3" x14ac:dyDescent="0.2">
      <c r="A792">
        <v>6.7069000000000001</v>
      </c>
      <c r="B792">
        <v>5.8440000000000003</v>
      </c>
      <c r="C792">
        <f t="shared" si="12"/>
        <v>1.15609628976</v>
      </c>
    </row>
    <row r="793" spans="1:3" x14ac:dyDescent="0.2">
      <c r="A793">
        <v>6.7155199999999997</v>
      </c>
      <c r="B793">
        <v>5.58</v>
      </c>
      <c r="C793">
        <f t="shared" si="12"/>
        <v>1.151747724</v>
      </c>
    </row>
    <row r="794" spans="1:3" x14ac:dyDescent="0.2">
      <c r="A794">
        <v>6.7241400000000002</v>
      </c>
      <c r="B794">
        <v>5.4509999999999996</v>
      </c>
      <c r="C794">
        <f t="shared" si="12"/>
        <v>1.1496182939099999</v>
      </c>
    </row>
    <row r="795" spans="1:3" x14ac:dyDescent="0.2">
      <c r="A795">
        <v>6.7327599999999999</v>
      </c>
      <c r="B795">
        <v>7.609</v>
      </c>
      <c r="C795">
        <f t="shared" si="12"/>
        <v>1.18484678071</v>
      </c>
    </row>
    <row r="796" spans="1:3" x14ac:dyDescent="0.2">
      <c r="A796">
        <v>6.7413800000000004</v>
      </c>
      <c r="B796">
        <v>11.504</v>
      </c>
      <c r="C796">
        <f t="shared" si="12"/>
        <v>1.24630921856</v>
      </c>
    </row>
    <row r="797" spans="1:3" x14ac:dyDescent="0.2">
      <c r="A797">
        <v>6.75</v>
      </c>
      <c r="B797">
        <v>13.317</v>
      </c>
      <c r="C797">
        <f t="shared" si="12"/>
        <v>1.27398667599</v>
      </c>
    </row>
    <row r="798" spans="1:3" x14ac:dyDescent="0.2">
      <c r="A798">
        <v>6.7586199999999996</v>
      </c>
      <c r="B798">
        <v>12.613</v>
      </c>
      <c r="C798">
        <f t="shared" si="12"/>
        <v>1.26330960079</v>
      </c>
    </row>
    <row r="799" spans="1:3" x14ac:dyDescent="0.2">
      <c r="A799">
        <v>6.7672400000000001</v>
      </c>
      <c r="B799">
        <v>9.9559999999999995</v>
      </c>
      <c r="C799">
        <f t="shared" si="12"/>
        <v>1.22220902576</v>
      </c>
    </row>
    <row r="800" spans="1:3" x14ac:dyDescent="0.2">
      <c r="A800">
        <v>6.7758599999999998</v>
      </c>
      <c r="B800">
        <v>6.9260000000000002</v>
      </c>
      <c r="C800">
        <f t="shared" si="12"/>
        <v>1.17378774716</v>
      </c>
    </row>
    <row r="801" spans="1:3" x14ac:dyDescent="0.2">
      <c r="A801">
        <v>6.7844800000000003</v>
      </c>
      <c r="B801">
        <v>5.734</v>
      </c>
      <c r="C801">
        <f t="shared" si="12"/>
        <v>1.15428591196</v>
      </c>
    </row>
    <row r="802" spans="1:3" x14ac:dyDescent="0.2">
      <c r="A802">
        <v>6.7930999999999999</v>
      </c>
      <c r="B802">
        <v>6.5369999999999999</v>
      </c>
      <c r="C802">
        <f t="shared" si="12"/>
        <v>1.1674515867899999</v>
      </c>
    </row>
    <row r="803" spans="1:3" x14ac:dyDescent="0.2">
      <c r="A803">
        <v>6.8017200000000004</v>
      </c>
      <c r="B803">
        <v>9.0589999999999993</v>
      </c>
      <c r="C803">
        <f t="shared" si="12"/>
        <v>1.20804660671</v>
      </c>
    </row>
    <row r="804" spans="1:3" x14ac:dyDescent="0.2">
      <c r="A804">
        <v>6.8103400000000001</v>
      </c>
      <c r="B804">
        <v>11.718999999999999</v>
      </c>
      <c r="C804">
        <f t="shared" si="12"/>
        <v>1.24962235351</v>
      </c>
    </row>
    <row r="805" spans="1:3" x14ac:dyDescent="0.2">
      <c r="A805">
        <v>6.8189700000000002</v>
      </c>
      <c r="B805">
        <v>11.457000000000001</v>
      </c>
      <c r="C805">
        <f t="shared" si="12"/>
        <v>1.24558384359</v>
      </c>
    </row>
    <row r="806" spans="1:3" x14ac:dyDescent="0.2">
      <c r="A806">
        <v>6.8275899999999998</v>
      </c>
      <c r="B806">
        <v>8.8149999999999995</v>
      </c>
      <c r="C806">
        <f t="shared" si="12"/>
        <v>1.20416911975</v>
      </c>
    </row>
    <row r="807" spans="1:3" x14ac:dyDescent="0.2">
      <c r="A807">
        <v>6.8362100000000003</v>
      </c>
      <c r="B807">
        <v>6.54</v>
      </c>
      <c r="C807">
        <f t="shared" si="12"/>
        <v>1.167500556</v>
      </c>
    </row>
    <row r="808" spans="1:3" x14ac:dyDescent="0.2">
      <c r="A808">
        <v>6.84483</v>
      </c>
      <c r="B808">
        <v>6.0039999999999996</v>
      </c>
      <c r="C808">
        <f t="shared" si="12"/>
        <v>1.15872567856</v>
      </c>
    </row>
    <row r="809" spans="1:3" x14ac:dyDescent="0.2">
      <c r="A809">
        <v>6.8534499999999996</v>
      </c>
      <c r="B809">
        <v>5.8849999999999998</v>
      </c>
      <c r="C809">
        <f t="shared" si="12"/>
        <v>1.1567705097499998</v>
      </c>
    </row>
    <row r="810" spans="1:3" x14ac:dyDescent="0.2">
      <c r="A810">
        <v>6.8620700000000001</v>
      </c>
      <c r="B810">
        <v>5.6550000000000002</v>
      </c>
      <c r="C810">
        <f t="shared" si="12"/>
        <v>1.1529843877499999</v>
      </c>
    </row>
    <row r="811" spans="1:3" x14ac:dyDescent="0.2">
      <c r="A811">
        <v>6.8706899999999997</v>
      </c>
      <c r="B811">
        <v>5.7450000000000001</v>
      </c>
      <c r="C811">
        <f t="shared" si="12"/>
        <v>1.1544670477499999</v>
      </c>
    </row>
    <row r="812" spans="1:3" x14ac:dyDescent="0.2">
      <c r="A812">
        <v>6.8793100000000003</v>
      </c>
      <c r="B812">
        <v>5.6719999999999997</v>
      </c>
      <c r="C812">
        <f t="shared" si="12"/>
        <v>1.15326455744</v>
      </c>
    </row>
    <row r="813" spans="1:3" x14ac:dyDescent="0.2">
      <c r="A813">
        <v>6.8879299999999999</v>
      </c>
      <c r="B813">
        <v>5.4219999999999997</v>
      </c>
      <c r="C813">
        <f t="shared" si="12"/>
        <v>1.14913917244</v>
      </c>
    </row>
    <row r="814" spans="1:3" x14ac:dyDescent="0.2">
      <c r="A814">
        <v>6.8965500000000004</v>
      </c>
      <c r="B814">
        <v>5.2270000000000003</v>
      </c>
      <c r="C814">
        <f t="shared" si="12"/>
        <v>1.1459135623899999</v>
      </c>
    </row>
    <row r="815" spans="1:3" x14ac:dyDescent="0.2">
      <c r="A815">
        <v>6.90517</v>
      </c>
      <c r="B815">
        <v>5.6820000000000004</v>
      </c>
      <c r="C815">
        <f t="shared" si="12"/>
        <v>1.1534293388399999</v>
      </c>
    </row>
    <row r="816" spans="1:3" x14ac:dyDescent="0.2">
      <c r="A816">
        <v>6.9137899999999997</v>
      </c>
      <c r="B816">
        <v>6.93</v>
      </c>
      <c r="C816">
        <f t="shared" si="12"/>
        <v>1.1738527589999999</v>
      </c>
    </row>
    <row r="817" spans="1:3" x14ac:dyDescent="0.2">
      <c r="A817">
        <v>6.9224100000000002</v>
      </c>
      <c r="B817">
        <v>7.6760000000000002</v>
      </c>
      <c r="C817">
        <f t="shared" si="12"/>
        <v>1.1859271121599999</v>
      </c>
    </row>
    <row r="818" spans="1:3" x14ac:dyDescent="0.2">
      <c r="A818">
        <v>6.9310299999999998</v>
      </c>
      <c r="B818">
        <v>8.2629999999999999</v>
      </c>
      <c r="C818">
        <f t="shared" si="12"/>
        <v>1.1953575547899999</v>
      </c>
    </row>
    <row r="819" spans="1:3" x14ac:dyDescent="0.2">
      <c r="A819">
        <v>6.9396599999999999</v>
      </c>
      <c r="B819">
        <v>8.0399999999999991</v>
      </c>
      <c r="C819">
        <f t="shared" si="12"/>
        <v>1.191782256</v>
      </c>
    </row>
    <row r="820" spans="1:3" x14ac:dyDescent="0.2">
      <c r="A820">
        <v>6.9482799999999996</v>
      </c>
      <c r="B820">
        <v>7.2060000000000004</v>
      </c>
      <c r="C820">
        <f t="shared" si="12"/>
        <v>1.1783316207599999</v>
      </c>
    </row>
    <row r="821" spans="1:3" x14ac:dyDescent="0.2">
      <c r="A821">
        <v>6.9569000000000001</v>
      </c>
      <c r="B821">
        <v>7.242</v>
      </c>
      <c r="C821">
        <f t="shared" si="12"/>
        <v>1.1789148092399999</v>
      </c>
    </row>
    <row r="822" spans="1:3" x14ac:dyDescent="0.2">
      <c r="A822">
        <v>6.9655199999999997</v>
      </c>
      <c r="B822">
        <v>7.4809999999999999</v>
      </c>
      <c r="C822">
        <f t="shared" si="12"/>
        <v>1.18278061751</v>
      </c>
    </row>
    <row r="823" spans="1:3" x14ac:dyDescent="0.2">
      <c r="A823">
        <v>6.9741400000000002</v>
      </c>
      <c r="B823">
        <v>7.5510000000000002</v>
      </c>
      <c r="C823">
        <f t="shared" si="12"/>
        <v>1.1839109159099999</v>
      </c>
    </row>
    <row r="824" spans="1:3" x14ac:dyDescent="0.2">
      <c r="A824">
        <v>6.9827599999999999</v>
      </c>
      <c r="B824">
        <v>7.34</v>
      </c>
      <c r="C824">
        <f t="shared" si="12"/>
        <v>1.180501196</v>
      </c>
    </row>
    <row r="825" spans="1:3" x14ac:dyDescent="0.2">
      <c r="A825">
        <v>6.9913800000000004</v>
      </c>
      <c r="B825">
        <v>6.335</v>
      </c>
      <c r="C825">
        <f t="shared" si="12"/>
        <v>1.1641505997499999</v>
      </c>
    </row>
    <row r="826" spans="1:3" x14ac:dyDescent="0.2">
      <c r="A826">
        <v>7</v>
      </c>
      <c r="B826">
        <v>5.4450000000000003</v>
      </c>
      <c r="C826">
        <f t="shared" si="12"/>
        <v>1.14951917775</v>
      </c>
    </row>
    <row r="827" spans="1:3" x14ac:dyDescent="0.2">
      <c r="A827">
        <v>7.0086199999999996</v>
      </c>
      <c r="B827">
        <v>5.1020000000000003</v>
      </c>
      <c r="C827">
        <f t="shared" si="12"/>
        <v>1.1438422636399999</v>
      </c>
    </row>
    <row r="828" spans="1:3" x14ac:dyDescent="0.2">
      <c r="A828">
        <v>7.0172400000000001</v>
      </c>
      <c r="B828">
        <v>5.0579999999999998</v>
      </c>
      <c r="C828">
        <f t="shared" si="12"/>
        <v>1.14311249724</v>
      </c>
    </row>
    <row r="829" spans="1:3" x14ac:dyDescent="0.2">
      <c r="A829">
        <v>7.0258599999999998</v>
      </c>
      <c r="B829">
        <v>5</v>
      </c>
      <c r="C829">
        <f t="shared" si="12"/>
        <v>1.14215</v>
      </c>
    </row>
    <row r="830" spans="1:3" x14ac:dyDescent="0.2">
      <c r="A830">
        <v>7.0344800000000003</v>
      </c>
      <c r="B830">
        <v>5</v>
      </c>
      <c r="C830">
        <f t="shared" si="12"/>
        <v>1.14215</v>
      </c>
    </row>
    <row r="831" spans="1:3" x14ac:dyDescent="0.2">
      <c r="A831">
        <v>7.0430999999999999</v>
      </c>
      <c r="B831">
        <v>4.9400000000000004</v>
      </c>
      <c r="C831">
        <f t="shared" si="12"/>
        <v>1.1411536760000001</v>
      </c>
    </row>
    <row r="832" spans="1:3" x14ac:dyDescent="0.2">
      <c r="A832">
        <v>7.0517200000000004</v>
      </c>
      <c r="B832">
        <v>4.6379999999999999</v>
      </c>
      <c r="C832">
        <f t="shared" si="12"/>
        <v>1.13612900604</v>
      </c>
    </row>
    <row r="833" spans="1:3" x14ac:dyDescent="0.2">
      <c r="A833">
        <v>7.0603400000000001</v>
      </c>
      <c r="B833">
        <v>4.7569999999999997</v>
      </c>
      <c r="C833">
        <f t="shared" si="12"/>
        <v>1.13811088559</v>
      </c>
    </row>
    <row r="834" spans="1:3" x14ac:dyDescent="0.2">
      <c r="A834">
        <v>7.0689700000000002</v>
      </c>
      <c r="B834">
        <v>4.8620000000000001</v>
      </c>
      <c r="C834">
        <f t="shared" si="12"/>
        <v>1.1398574860399999</v>
      </c>
    </row>
    <row r="835" spans="1:3" x14ac:dyDescent="0.2">
      <c r="A835">
        <v>7.0775899999999998</v>
      </c>
      <c r="B835">
        <v>4.72</v>
      </c>
      <c r="C835">
        <f t="shared" si="12"/>
        <v>1.137494944</v>
      </c>
    </row>
    <row r="836" spans="1:3" x14ac:dyDescent="0.2">
      <c r="A836">
        <v>7.0862100000000003</v>
      </c>
      <c r="B836">
        <v>5.6260000000000003</v>
      </c>
      <c r="C836">
        <f t="shared" si="12"/>
        <v>1.1525063311599999</v>
      </c>
    </row>
    <row r="837" spans="1:3" x14ac:dyDescent="0.2">
      <c r="A837">
        <v>7.09483</v>
      </c>
      <c r="B837">
        <v>6.2839999999999998</v>
      </c>
      <c r="C837">
        <f t="shared" si="12"/>
        <v>1.16331602096</v>
      </c>
    </row>
    <row r="838" spans="1:3" x14ac:dyDescent="0.2">
      <c r="A838">
        <v>7.1034499999999996</v>
      </c>
      <c r="B838">
        <v>6.6660000000000004</v>
      </c>
      <c r="C838">
        <f t="shared" si="12"/>
        <v>1.1695557999599999</v>
      </c>
    </row>
    <row r="839" spans="1:3" x14ac:dyDescent="0.2">
      <c r="A839">
        <v>7.1120700000000001</v>
      </c>
      <c r="B839">
        <v>6.54</v>
      </c>
      <c r="C839">
        <f t="shared" si="12"/>
        <v>1.167500556</v>
      </c>
    </row>
    <row r="840" spans="1:3" x14ac:dyDescent="0.2">
      <c r="A840">
        <v>7.1206899999999997</v>
      </c>
      <c r="B840">
        <v>6.8360000000000003</v>
      </c>
      <c r="C840">
        <f t="shared" si="12"/>
        <v>1.1723242193599999</v>
      </c>
    </row>
    <row r="841" spans="1:3" x14ac:dyDescent="0.2">
      <c r="A841">
        <v>7.1293100000000003</v>
      </c>
      <c r="B841">
        <v>7.3769999999999998</v>
      </c>
      <c r="C841">
        <f t="shared" si="12"/>
        <v>1.18109968839</v>
      </c>
    </row>
    <row r="842" spans="1:3" x14ac:dyDescent="0.2">
      <c r="A842">
        <v>7.1379299999999999</v>
      </c>
      <c r="B842">
        <v>7.9770000000000003</v>
      </c>
      <c r="C842">
        <f t="shared" si="12"/>
        <v>1.1907705723899999</v>
      </c>
    </row>
    <row r="843" spans="1:3" x14ac:dyDescent="0.2">
      <c r="A843">
        <v>7.1465500000000004</v>
      </c>
      <c r="B843">
        <v>8.375</v>
      </c>
      <c r="C843">
        <f t="shared" si="12"/>
        <v>1.1971498437499999</v>
      </c>
    </row>
    <row r="844" spans="1:3" x14ac:dyDescent="0.2">
      <c r="A844">
        <v>7.15517</v>
      </c>
      <c r="B844">
        <v>6.9720000000000004</v>
      </c>
      <c r="C844">
        <f t="shared" si="12"/>
        <v>1.1745352094399999</v>
      </c>
    </row>
    <row r="845" spans="1:3" x14ac:dyDescent="0.2">
      <c r="A845">
        <v>7.1637899999999997</v>
      </c>
      <c r="B845">
        <v>6.0049999999999999</v>
      </c>
      <c r="C845">
        <f t="shared" si="12"/>
        <v>1.15874209775</v>
      </c>
    </row>
    <row r="846" spans="1:3" x14ac:dyDescent="0.2">
      <c r="A846">
        <v>7.1724100000000002</v>
      </c>
      <c r="B846">
        <v>5.1689999999999996</v>
      </c>
      <c r="C846">
        <f t="shared" si="12"/>
        <v>1.14495282951</v>
      </c>
    </row>
    <row r="847" spans="1:3" x14ac:dyDescent="0.2">
      <c r="A847">
        <v>7.1810299999999998</v>
      </c>
      <c r="B847">
        <v>5.117</v>
      </c>
      <c r="C847">
        <f t="shared" ref="C847:C910" si="13">(-0.00009*(B847^2))+0.0175*B847+1.0569</f>
        <v>1.14409096799</v>
      </c>
    </row>
    <row r="848" spans="1:3" x14ac:dyDescent="0.2">
      <c r="A848">
        <v>7.1896599999999999</v>
      </c>
      <c r="B848">
        <v>5.0720000000000001</v>
      </c>
      <c r="C848">
        <f t="shared" si="13"/>
        <v>1.14334473344</v>
      </c>
    </row>
    <row r="849" spans="1:3" x14ac:dyDescent="0.2">
      <c r="A849">
        <v>7.1982799999999996</v>
      </c>
      <c r="B849">
        <v>5.157</v>
      </c>
      <c r="C849">
        <f t="shared" si="13"/>
        <v>1.1447539815899999</v>
      </c>
    </row>
    <row r="850" spans="1:3" x14ac:dyDescent="0.2">
      <c r="A850">
        <v>7.2069000000000001</v>
      </c>
      <c r="B850">
        <v>6.0039999999999996</v>
      </c>
      <c r="C850">
        <f t="shared" si="13"/>
        <v>1.15872567856</v>
      </c>
    </row>
    <row r="851" spans="1:3" x14ac:dyDescent="0.2">
      <c r="A851">
        <v>7.2155199999999997</v>
      </c>
      <c r="B851">
        <v>7.9790000000000001</v>
      </c>
      <c r="C851">
        <f t="shared" si="13"/>
        <v>1.1908027003099999</v>
      </c>
    </row>
    <row r="852" spans="1:3" x14ac:dyDescent="0.2">
      <c r="A852">
        <v>7.2241400000000002</v>
      </c>
      <c r="B852">
        <v>9.8219999999999992</v>
      </c>
      <c r="C852">
        <f t="shared" si="13"/>
        <v>1.2201025484399999</v>
      </c>
    </row>
    <row r="853" spans="1:3" x14ac:dyDescent="0.2">
      <c r="A853">
        <v>7.2327599999999999</v>
      </c>
      <c r="B853">
        <v>10.317</v>
      </c>
      <c r="C853">
        <f t="shared" si="13"/>
        <v>1.22786785599</v>
      </c>
    </row>
    <row r="854" spans="1:3" x14ac:dyDescent="0.2">
      <c r="A854">
        <v>7.2413800000000004</v>
      </c>
      <c r="B854">
        <v>10.058</v>
      </c>
      <c r="C854">
        <f t="shared" si="13"/>
        <v>1.22381029724</v>
      </c>
    </row>
    <row r="855" spans="1:3" x14ac:dyDescent="0.2">
      <c r="A855">
        <v>7.25</v>
      </c>
      <c r="B855">
        <v>8.9429999999999996</v>
      </c>
      <c r="C855">
        <f t="shared" si="13"/>
        <v>1.2062045475900001</v>
      </c>
    </row>
    <row r="856" spans="1:3" x14ac:dyDescent="0.2">
      <c r="A856">
        <v>7.2586199999999996</v>
      </c>
      <c r="B856">
        <v>8.1180000000000003</v>
      </c>
      <c r="C856">
        <f t="shared" si="13"/>
        <v>1.19303382684</v>
      </c>
    </row>
    <row r="857" spans="1:3" x14ac:dyDescent="0.2">
      <c r="A857">
        <v>7.2672400000000001</v>
      </c>
      <c r="B857">
        <v>8.4920000000000009</v>
      </c>
      <c r="C857">
        <f t="shared" si="13"/>
        <v>1.19901973424</v>
      </c>
    </row>
    <row r="858" spans="1:3" x14ac:dyDescent="0.2">
      <c r="A858">
        <v>7.2758599999999998</v>
      </c>
      <c r="B858">
        <v>10.308999999999999</v>
      </c>
      <c r="C858">
        <f t="shared" si="13"/>
        <v>1.22774270671</v>
      </c>
    </row>
    <row r="859" spans="1:3" x14ac:dyDescent="0.2">
      <c r="A859">
        <v>7.2844800000000003</v>
      </c>
      <c r="B859">
        <v>14.207000000000001</v>
      </c>
      <c r="C859">
        <f t="shared" si="13"/>
        <v>1.2873570035899999</v>
      </c>
    </row>
    <row r="860" spans="1:3" x14ac:dyDescent="0.2">
      <c r="A860">
        <v>7.2930999999999999</v>
      </c>
      <c r="B860">
        <v>16.963999999999999</v>
      </c>
      <c r="C860">
        <f t="shared" si="13"/>
        <v>1.3278700433599999</v>
      </c>
    </row>
    <row r="861" spans="1:3" x14ac:dyDescent="0.2">
      <c r="A861">
        <v>7.3017200000000004</v>
      </c>
      <c r="B861">
        <v>14.96</v>
      </c>
      <c r="C861">
        <f t="shared" si="13"/>
        <v>1.298557856</v>
      </c>
    </row>
    <row r="862" spans="1:3" x14ac:dyDescent="0.2">
      <c r="A862">
        <v>7.3103400000000001</v>
      </c>
      <c r="B862">
        <v>11.446</v>
      </c>
      <c r="C862">
        <f t="shared" si="13"/>
        <v>1.2454140175599999</v>
      </c>
    </row>
    <row r="863" spans="1:3" x14ac:dyDescent="0.2">
      <c r="A863">
        <v>7.3189700000000002</v>
      </c>
      <c r="B863">
        <v>7.7039999999999997</v>
      </c>
      <c r="C863">
        <f t="shared" si="13"/>
        <v>1.18637835456</v>
      </c>
    </row>
    <row r="864" spans="1:3" x14ac:dyDescent="0.2">
      <c r="A864">
        <v>7.3275899999999998</v>
      </c>
      <c r="B864">
        <v>5.2889999999999997</v>
      </c>
      <c r="C864">
        <f t="shared" si="13"/>
        <v>1.1469398831099999</v>
      </c>
    </row>
    <row r="865" spans="1:3" x14ac:dyDescent="0.2">
      <c r="A865">
        <v>7.3362100000000003</v>
      </c>
      <c r="B865">
        <v>4.8979999999999997</v>
      </c>
      <c r="C865">
        <f t="shared" si="13"/>
        <v>1.14045586364</v>
      </c>
    </row>
    <row r="866" spans="1:3" x14ac:dyDescent="0.2">
      <c r="A866">
        <v>7.34483</v>
      </c>
      <c r="B866">
        <v>5.6470000000000002</v>
      </c>
      <c r="C866">
        <f t="shared" si="13"/>
        <v>1.1528525251899999</v>
      </c>
    </row>
    <row r="867" spans="1:3" x14ac:dyDescent="0.2">
      <c r="A867">
        <v>7.3534499999999996</v>
      </c>
      <c r="B867">
        <v>6.23</v>
      </c>
      <c r="C867">
        <f t="shared" si="13"/>
        <v>1.1624318389999999</v>
      </c>
    </row>
    <row r="868" spans="1:3" x14ac:dyDescent="0.2">
      <c r="A868">
        <v>7.3620700000000001</v>
      </c>
      <c r="B868">
        <v>6.6849999999999996</v>
      </c>
      <c r="C868">
        <f t="shared" si="13"/>
        <v>1.1698654697499999</v>
      </c>
    </row>
    <row r="869" spans="1:3" x14ac:dyDescent="0.2">
      <c r="A869">
        <v>7.3706899999999997</v>
      </c>
      <c r="B869">
        <v>6.3479999999999999</v>
      </c>
      <c r="C869">
        <f t="shared" si="13"/>
        <v>1.1643632606400001</v>
      </c>
    </row>
    <row r="870" spans="1:3" x14ac:dyDescent="0.2">
      <c r="A870">
        <v>7.3793100000000003</v>
      </c>
      <c r="B870">
        <v>5.1550000000000002</v>
      </c>
      <c r="C870">
        <f t="shared" si="13"/>
        <v>1.14472083775</v>
      </c>
    </row>
    <row r="871" spans="1:3" x14ac:dyDescent="0.2">
      <c r="A871">
        <v>7.3879299999999999</v>
      </c>
      <c r="B871">
        <v>5.0209999999999999</v>
      </c>
      <c r="C871">
        <f t="shared" si="13"/>
        <v>1.14249856031</v>
      </c>
    </row>
    <row r="872" spans="1:3" x14ac:dyDescent="0.2">
      <c r="A872">
        <v>7.3965500000000004</v>
      </c>
      <c r="B872">
        <v>5.6580000000000004</v>
      </c>
      <c r="C872">
        <f t="shared" si="13"/>
        <v>1.1530338332399999</v>
      </c>
    </row>
    <row r="873" spans="1:3" x14ac:dyDescent="0.2">
      <c r="A873">
        <v>7.40517</v>
      </c>
      <c r="B873">
        <v>7.5949999999999998</v>
      </c>
      <c r="C873">
        <f t="shared" si="13"/>
        <v>1.1846209377499999</v>
      </c>
    </row>
    <row r="874" spans="1:3" x14ac:dyDescent="0.2">
      <c r="A874">
        <v>7.4137899999999997</v>
      </c>
      <c r="B874">
        <v>9.1080000000000005</v>
      </c>
      <c r="C874">
        <f t="shared" si="13"/>
        <v>1.20882399024</v>
      </c>
    </row>
    <row r="875" spans="1:3" x14ac:dyDescent="0.2">
      <c r="A875">
        <v>7.4224100000000002</v>
      </c>
      <c r="B875">
        <v>9.1470000000000002</v>
      </c>
      <c r="C875">
        <f t="shared" si="13"/>
        <v>1.2094424151899998</v>
      </c>
    </row>
    <row r="876" spans="1:3" x14ac:dyDescent="0.2">
      <c r="A876">
        <v>7.4310299999999998</v>
      </c>
      <c r="B876">
        <v>11.941000000000001</v>
      </c>
      <c r="C876">
        <f t="shared" si="13"/>
        <v>1.2530346267099999</v>
      </c>
    </row>
    <row r="877" spans="1:3" x14ac:dyDescent="0.2">
      <c r="A877">
        <v>7.4396599999999999</v>
      </c>
      <c r="B877">
        <v>11.473000000000001</v>
      </c>
      <c r="C877">
        <f t="shared" si="13"/>
        <v>1.24583082439</v>
      </c>
    </row>
    <row r="878" spans="1:3" x14ac:dyDescent="0.2">
      <c r="A878">
        <v>7.4482799999999996</v>
      </c>
      <c r="B878">
        <v>7.657</v>
      </c>
      <c r="C878">
        <f t="shared" si="13"/>
        <v>1.1856208315900001</v>
      </c>
    </row>
    <row r="879" spans="1:3" x14ac:dyDescent="0.2">
      <c r="A879">
        <v>7.4569000000000001</v>
      </c>
      <c r="B879">
        <v>10.601000000000001</v>
      </c>
      <c r="C879">
        <f t="shared" si="13"/>
        <v>1.23230319191</v>
      </c>
    </row>
    <row r="880" spans="1:3" x14ac:dyDescent="0.2">
      <c r="A880">
        <v>7.4655199999999997</v>
      </c>
      <c r="B880">
        <v>15.364000000000001</v>
      </c>
      <c r="C880">
        <f t="shared" si="13"/>
        <v>1.3045252753600001</v>
      </c>
    </row>
    <row r="881" spans="1:3" x14ac:dyDescent="0.2">
      <c r="A881">
        <v>7.4741400000000002</v>
      </c>
      <c r="B881">
        <v>17.416</v>
      </c>
      <c r="C881">
        <f t="shared" si="13"/>
        <v>1.3343814649599999</v>
      </c>
    </row>
    <row r="882" spans="1:3" x14ac:dyDescent="0.2">
      <c r="A882">
        <v>7.4827599999999999</v>
      </c>
      <c r="B882">
        <v>15.723000000000001</v>
      </c>
      <c r="C882">
        <f t="shared" si="13"/>
        <v>1.3098033543900001</v>
      </c>
    </row>
    <row r="883" spans="1:3" x14ac:dyDescent="0.2">
      <c r="A883">
        <v>7.4913800000000004</v>
      </c>
      <c r="B883">
        <v>11.510999999999999</v>
      </c>
      <c r="C883">
        <f t="shared" si="13"/>
        <v>1.24641721911</v>
      </c>
    </row>
    <row r="884" spans="1:3" x14ac:dyDescent="0.2">
      <c r="A884">
        <v>7.5</v>
      </c>
      <c r="B884">
        <v>7.3559999999999999</v>
      </c>
      <c r="C884">
        <f t="shared" si="13"/>
        <v>1.1807600337599999</v>
      </c>
    </row>
    <row r="885" spans="1:3" x14ac:dyDescent="0.2">
      <c r="A885">
        <v>7.5086199999999996</v>
      </c>
      <c r="B885">
        <v>6.024</v>
      </c>
      <c r="C885">
        <f t="shared" si="13"/>
        <v>1.1590540281599999</v>
      </c>
    </row>
    <row r="886" spans="1:3" x14ac:dyDescent="0.2">
      <c r="A886">
        <v>7.5172400000000001</v>
      </c>
      <c r="B886">
        <v>6.8040000000000003</v>
      </c>
      <c r="C886">
        <f t="shared" si="13"/>
        <v>1.17180350256</v>
      </c>
    </row>
    <row r="887" spans="1:3" x14ac:dyDescent="0.2">
      <c r="A887">
        <v>7.5258599999999998</v>
      </c>
      <c r="B887">
        <v>8.1549999999999994</v>
      </c>
      <c r="C887">
        <f t="shared" si="13"/>
        <v>1.1936271377500001</v>
      </c>
    </row>
    <row r="888" spans="1:3" x14ac:dyDescent="0.2">
      <c r="A888">
        <v>7.5344800000000003</v>
      </c>
      <c r="B888">
        <v>9.0619999999999994</v>
      </c>
      <c r="C888">
        <f t="shared" si="13"/>
        <v>1.2080942140399999</v>
      </c>
    </row>
    <row r="889" spans="1:3" x14ac:dyDescent="0.2">
      <c r="A889">
        <v>7.5430999999999999</v>
      </c>
      <c r="B889">
        <v>9.8030000000000008</v>
      </c>
      <c r="C889">
        <f t="shared" si="13"/>
        <v>1.21980360719</v>
      </c>
    </row>
    <row r="890" spans="1:3" x14ac:dyDescent="0.2">
      <c r="A890">
        <v>7.5517200000000004</v>
      </c>
      <c r="B890">
        <v>10.202999999999999</v>
      </c>
      <c r="C890">
        <f t="shared" si="13"/>
        <v>1.22608339119</v>
      </c>
    </row>
    <row r="891" spans="1:3" x14ac:dyDescent="0.2">
      <c r="A891">
        <v>7.5603400000000001</v>
      </c>
      <c r="B891">
        <v>11.175000000000001</v>
      </c>
      <c r="C891">
        <f t="shared" si="13"/>
        <v>1.2412232437499999</v>
      </c>
    </row>
    <row r="892" spans="1:3" x14ac:dyDescent="0.2">
      <c r="A892">
        <v>7.5689700000000002</v>
      </c>
      <c r="B892">
        <v>11.430999999999999</v>
      </c>
      <c r="C892">
        <f t="shared" si="13"/>
        <v>1.2451824015099999</v>
      </c>
    </row>
    <row r="893" spans="1:3" x14ac:dyDescent="0.2">
      <c r="A893">
        <v>7.5775899999999998</v>
      </c>
      <c r="B893">
        <v>10.621</v>
      </c>
      <c r="C893">
        <f t="shared" si="13"/>
        <v>1.23261499231</v>
      </c>
    </row>
    <row r="894" spans="1:3" x14ac:dyDescent="0.2">
      <c r="A894">
        <v>7.5862100000000003</v>
      </c>
      <c r="B894">
        <v>9.6869999999999994</v>
      </c>
      <c r="C894">
        <f t="shared" si="13"/>
        <v>1.2179770827900001</v>
      </c>
    </row>
    <row r="895" spans="1:3" x14ac:dyDescent="0.2">
      <c r="A895">
        <v>7.59483</v>
      </c>
      <c r="B895">
        <v>11.574</v>
      </c>
      <c r="C895">
        <f t="shared" si="13"/>
        <v>1.24738882716</v>
      </c>
    </row>
    <row r="896" spans="1:3" x14ac:dyDescent="0.2">
      <c r="A896">
        <v>7.6034499999999996</v>
      </c>
      <c r="B896">
        <v>14.641999999999999</v>
      </c>
      <c r="C896">
        <f t="shared" si="13"/>
        <v>1.2938400652399999</v>
      </c>
    </row>
    <row r="897" spans="1:3" x14ac:dyDescent="0.2">
      <c r="A897">
        <v>7.6120700000000001</v>
      </c>
      <c r="B897">
        <v>15.736000000000001</v>
      </c>
      <c r="C897">
        <f t="shared" si="13"/>
        <v>1.30999404736</v>
      </c>
    </row>
    <row r="898" spans="1:3" x14ac:dyDescent="0.2">
      <c r="A898">
        <v>7.6206899999999997</v>
      </c>
      <c r="B898">
        <v>13.462</v>
      </c>
      <c r="C898">
        <f t="shared" si="13"/>
        <v>1.27617471004</v>
      </c>
    </row>
    <row r="899" spans="1:3" x14ac:dyDescent="0.2">
      <c r="A899">
        <v>7.6293100000000003</v>
      </c>
      <c r="B899">
        <v>9.7949999999999999</v>
      </c>
      <c r="C899">
        <f t="shared" si="13"/>
        <v>1.21967771775</v>
      </c>
    </row>
    <row r="900" spans="1:3" x14ac:dyDescent="0.2">
      <c r="A900">
        <v>7.6379299999999999</v>
      </c>
      <c r="B900">
        <v>7.2329999999999997</v>
      </c>
      <c r="C900">
        <f t="shared" si="13"/>
        <v>1.1787690339899999</v>
      </c>
    </row>
    <row r="901" spans="1:3" x14ac:dyDescent="0.2">
      <c r="A901">
        <v>7.6465500000000004</v>
      </c>
      <c r="B901">
        <v>6.2270000000000003</v>
      </c>
      <c r="C901">
        <f t="shared" si="13"/>
        <v>1.16238270239</v>
      </c>
    </row>
    <row r="902" spans="1:3" x14ac:dyDescent="0.2">
      <c r="A902">
        <v>7.65517</v>
      </c>
      <c r="B902">
        <v>6.1239999999999997</v>
      </c>
      <c r="C902">
        <f t="shared" si="13"/>
        <v>1.16069469616</v>
      </c>
    </row>
    <row r="903" spans="1:3" x14ac:dyDescent="0.2">
      <c r="A903">
        <v>7.6637899999999997</v>
      </c>
      <c r="B903">
        <v>6.165</v>
      </c>
      <c r="C903">
        <f t="shared" si="13"/>
        <v>1.16136684975</v>
      </c>
    </row>
    <row r="904" spans="1:3" x14ac:dyDescent="0.2">
      <c r="A904">
        <v>7.6724100000000002</v>
      </c>
      <c r="B904">
        <v>6.7279999999999998</v>
      </c>
      <c r="C904">
        <f t="shared" si="13"/>
        <v>1.17056606144</v>
      </c>
    </row>
    <row r="905" spans="1:3" x14ac:dyDescent="0.2">
      <c r="A905">
        <v>7.6810299999999998</v>
      </c>
      <c r="B905">
        <v>8.0340000000000007</v>
      </c>
      <c r="C905">
        <f t="shared" si="13"/>
        <v>1.1916859359600001</v>
      </c>
    </row>
    <row r="906" spans="1:3" x14ac:dyDescent="0.2">
      <c r="A906">
        <v>7.6896599999999999</v>
      </c>
      <c r="B906">
        <v>9.8759999999999994</v>
      </c>
      <c r="C906">
        <f t="shared" si="13"/>
        <v>1.2209518161599999</v>
      </c>
    </row>
    <row r="907" spans="1:3" x14ac:dyDescent="0.2">
      <c r="A907">
        <v>7.6982799999999996</v>
      </c>
      <c r="B907">
        <v>10.291</v>
      </c>
      <c r="C907">
        <f t="shared" si="13"/>
        <v>1.22746107871</v>
      </c>
    </row>
    <row r="908" spans="1:3" x14ac:dyDescent="0.2">
      <c r="A908">
        <v>7.7069000000000001</v>
      </c>
      <c r="B908">
        <v>9.3829999999999991</v>
      </c>
      <c r="C908">
        <f t="shared" si="13"/>
        <v>1.2131788379899999</v>
      </c>
    </row>
    <row r="909" spans="1:3" x14ac:dyDescent="0.2">
      <c r="A909">
        <v>7.7155199999999997</v>
      </c>
      <c r="B909">
        <v>9.657</v>
      </c>
      <c r="C909">
        <f t="shared" si="13"/>
        <v>1.2175043115899999</v>
      </c>
    </row>
    <row r="910" spans="1:3" x14ac:dyDescent="0.2">
      <c r="A910">
        <v>7.7241400000000002</v>
      </c>
      <c r="B910">
        <v>10.452999999999999</v>
      </c>
      <c r="C910">
        <f t="shared" si="13"/>
        <v>1.2299936311899999</v>
      </c>
    </row>
    <row r="911" spans="1:3" x14ac:dyDescent="0.2">
      <c r="A911">
        <v>7.7327599999999999</v>
      </c>
      <c r="B911">
        <v>12.363</v>
      </c>
      <c r="C911">
        <f t="shared" ref="C911:C949" si="14">(-0.00009*(B911^2))+0.0175*B911+1.0569</f>
        <v>1.2594965607899999</v>
      </c>
    </row>
    <row r="912" spans="1:3" x14ac:dyDescent="0.2">
      <c r="A912">
        <v>7.7413800000000004</v>
      </c>
      <c r="B912">
        <v>15.622999999999999</v>
      </c>
      <c r="C912">
        <f t="shared" si="14"/>
        <v>1.3083354683899999</v>
      </c>
    </row>
    <row r="913" spans="1:3" x14ac:dyDescent="0.2">
      <c r="A913">
        <v>7.75</v>
      </c>
      <c r="B913">
        <v>17.393999999999998</v>
      </c>
      <c r="C913">
        <f t="shared" si="14"/>
        <v>1.33406538876</v>
      </c>
    </row>
    <row r="914" spans="1:3" x14ac:dyDescent="0.2">
      <c r="A914">
        <v>7.7586199999999996</v>
      </c>
      <c r="B914">
        <v>18.050999999999998</v>
      </c>
      <c r="C914">
        <f t="shared" si="14"/>
        <v>1.3434670259099999</v>
      </c>
    </row>
    <row r="915" spans="1:3" x14ac:dyDescent="0.2">
      <c r="A915">
        <v>7.7672400000000001</v>
      </c>
      <c r="B915">
        <v>17.14</v>
      </c>
      <c r="C915">
        <f t="shared" si="14"/>
        <v>1.3304098360000001</v>
      </c>
    </row>
    <row r="916" spans="1:3" x14ac:dyDescent="0.2">
      <c r="A916">
        <v>7.7758599999999998</v>
      </c>
      <c r="B916">
        <v>14.866</v>
      </c>
      <c r="C916">
        <f t="shared" si="14"/>
        <v>1.29716518396</v>
      </c>
    </row>
    <row r="917" spans="1:3" x14ac:dyDescent="0.2">
      <c r="A917">
        <v>7.7844800000000003</v>
      </c>
      <c r="B917">
        <v>12.351000000000001</v>
      </c>
      <c r="C917">
        <f t="shared" si="14"/>
        <v>1.2593132519100001</v>
      </c>
    </row>
    <row r="918" spans="1:3" x14ac:dyDescent="0.2">
      <c r="A918">
        <v>7.7930999999999999</v>
      </c>
      <c r="B918">
        <v>11.259</v>
      </c>
      <c r="C918">
        <f t="shared" si="14"/>
        <v>1.2425236427099999</v>
      </c>
    </row>
    <row r="919" spans="1:3" x14ac:dyDescent="0.2">
      <c r="A919">
        <v>7.8017200000000004</v>
      </c>
      <c r="B919">
        <v>13.064</v>
      </c>
      <c r="C919">
        <f t="shared" si="14"/>
        <v>1.27015987136</v>
      </c>
    </row>
    <row r="920" spans="1:3" x14ac:dyDescent="0.2">
      <c r="A920">
        <v>7.8103400000000001</v>
      </c>
      <c r="B920">
        <v>15.489000000000001</v>
      </c>
      <c r="C920">
        <f t="shared" si="14"/>
        <v>1.30636567911</v>
      </c>
    </row>
    <row r="921" spans="1:3" x14ac:dyDescent="0.2">
      <c r="A921">
        <v>7.8189700000000002</v>
      </c>
      <c r="B921">
        <v>15.489000000000001</v>
      </c>
      <c r="C921">
        <f t="shared" si="14"/>
        <v>1.30636567911</v>
      </c>
    </row>
    <row r="922" spans="1:3" x14ac:dyDescent="0.2">
      <c r="A922">
        <v>7.8275899999999998</v>
      </c>
      <c r="B922">
        <v>12.852</v>
      </c>
      <c r="C922">
        <f t="shared" si="14"/>
        <v>1.2669443486400001</v>
      </c>
    </row>
    <row r="923" spans="1:3" x14ac:dyDescent="0.2">
      <c r="A923">
        <v>7.8362100000000003</v>
      </c>
      <c r="B923">
        <v>9.6329999999999991</v>
      </c>
      <c r="C923">
        <f t="shared" si="14"/>
        <v>1.2171259779899999</v>
      </c>
    </row>
    <row r="924" spans="1:3" x14ac:dyDescent="0.2">
      <c r="A924">
        <v>7.84483</v>
      </c>
      <c r="B924">
        <v>6.7519999999999998</v>
      </c>
      <c r="C924">
        <f t="shared" si="14"/>
        <v>1.1709569446399999</v>
      </c>
    </row>
    <row r="925" spans="1:3" x14ac:dyDescent="0.2">
      <c r="A925">
        <v>7.8534499999999996</v>
      </c>
      <c r="B925">
        <v>5.8520000000000003</v>
      </c>
      <c r="C925">
        <f t="shared" si="14"/>
        <v>1.15622786864</v>
      </c>
    </row>
    <row r="926" spans="1:3" x14ac:dyDescent="0.2">
      <c r="A926">
        <v>7.8620700000000001</v>
      </c>
      <c r="B926">
        <v>6.3769999999999998</v>
      </c>
      <c r="C926">
        <f t="shared" si="14"/>
        <v>1.16483754839</v>
      </c>
    </row>
    <row r="927" spans="1:3" x14ac:dyDescent="0.2">
      <c r="A927">
        <v>7.8706899999999997</v>
      </c>
      <c r="B927">
        <v>7.383</v>
      </c>
      <c r="C927">
        <f t="shared" si="14"/>
        <v>1.18119671799</v>
      </c>
    </row>
    <row r="928" spans="1:3" x14ac:dyDescent="0.2">
      <c r="A928">
        <v>7.8793100000000003</v>
      </c>
      <c r="B928">
        <v>8.5239999999999991</v>
      </c>
      <c r="C928">
        <f t="shared" si="14"/>
        <v>1.1995307281600001</v>
      </c>
    </row>
    <row r="929" spans="1:3" x14ac:dyDescent="0.2">
      <c r="A929">
        <v>7.8879299999999999</v>
      </c>
      <c r="B929">
        <v>9.0280000000000005</v>
      </c>
      <c r="C929">
        <f t="shared" si="14"/>
        <v>1.2075545694400001</v>
      </c>
    </row>
    <row r="930" spans="1:3" x14ac:dyDescent="0.2">
      <c r="A930">
        <v>7.8965500000000004</v>
      </c>
      <c r="B930">
        <v>12.456</v>
      </c>
      <c r="C930">
        <f t="shared" si="14"/>
        <v>1.26091632576</v>
      </c>
    </row>
    <row r="931" spans="1:3" x14ac:dyDescent="0.2">
      <c r="A931">
        <v>7.90517</v>
      </c>
      <c r="B931">
        <v>17.449000000000002</v>
      </c>
      <c r="C931">
        <f t="shared" si="14"/>
        <v>1.3348554159099999</v>
      </c>
    </row>
    <row r="932" spans="1:3" x14ac:dyDescent="0.2">
      <c r="A932">
        <v>7.9137899999999997</v>
      </c>
      <c r="B932">
        <v>19.597999999999999</v>
      </c>
      <c r="C932">
        <f t="shared" si="14"/>
        <v>1.3652976556400001</v>
      </c>
    </row>
    <row r="933" spans="1:3" x14ac:dyDescent="0.2">
      <c r="A933">
        <v>7.9224100000000002</v>
      </c>
      <c r="B933">
        <v>17.259</v>
      </c>
      <c r="C933">
        <f t="shared" si="14"/>
        <v>1.3321239227099999</v>
      </c>
    </row>
    <row r="934" spans="1:3" x14ac:dyDescent="0.2">
      <c r="A934">
        <v>7.9310299999999998</v>
      </c>
      <c r="B934">
        <v>12.36</v>
      </c>
      <c r="C934">
        <f t="shared" si="14"/>
        <v>1.259450736</v>
      </c>
    </row>
    <row r="935" spans="1:3" x14ac:dyDescent="0.2">
      <c r="A935">
        <v>7.9396599999999999</v>
      </c>
      <c r="B935">
        <v>7.7389999999999999</v>
      </c>
      <c r="C935">
        <f t="shared" si="14"/>
        <v>1.1869422091099999</v>
      </c>
    </row>
    <row r="936" spans="1:3" x14ac:dyDescent="0.2">
      <c r="A936">
        <v>7.9482799999999996</v>
      </c>
      <c r="B936">
        <v>5.4480000000000004</v>
      </c>
      <c r="C936">
        <f t="shared" si="14"/>
        <v>1.14956873664</v>
      </c>
    </row>
    <row r="937" spans="1:3" x14ac:dyDescent="0.2">
      <c r="A937">
        <v>7.9569000000000001</v>
      </c>
      <c r="B937">
        <v>4.7270000000000003</v>
      </c>
      <c r="C937">
        <f t="shared" si="14"/>
        <v>1.13761149239</v>
      </c>
    </row>
    <row r="938" spans="1:3" x14ac:dyDescent="0.2">
      <c r="A938">
        <v>7.9655199999999997</v>
      </c>
      <c r="B938">
        <v>5.21</v>
      </c>
      <c r="C938">
        <f t="shared" si="14"/>
        <v>1.1456320309999999</v>
      </c>
    </row>
    <row r="939" spans="1:3" x14ac:dyDescent="0.2">
      <c r="A939">
        <v>7.9741400000000002</v>
      </c>
      <c r="B939">
        <v>5.8310000000000004</v>
      </c>
      <c r="C939">
        <f t="shared" si="14"/>
        <v>1.15588244951</v>
      </c>
    </row>
    <row r="940" spans="1:3" x14ac:dyDescent="0.2">
      <c r="A940">
        <v>7.9827599999999999</v>
      </c>
      <c r="B940">
        <v>6.1139999999999999</v>
      </c>
      <c r="C940">
        <f t="shared" si="14"/>
        <v>1.16053071036</v>
      </c>
    </row>
    <row r="941" spans="1:3" x14ac:dyDescent="0.2">
      <c r="A941">
        <v>7.9913800000000004</v>
      </c>
      <c r="B941">
        <v>6.5339999999999998</v>
      </c>
      <c r="C941">
        <f t="shared" si="14"/>
        <v>1.1674026159599999</v>
      </c>
    </row>
    <row r="942" spans="1:3" x14ac:dyDescent="0.2">
      <c r="A942">
        <v>8</v>
      </c>
      <c r="B942">
        <v>7.7380000000000004</v>
      </c>
      <c r="C942">
        <f t="shared" si="14"/>
        <v>1.1869261020399999</v>
      </c>
    </row>
    <row r="943" spans="1:3" x14ac:dyDescent="0.2">
      <c r="A943">
        <v>8.0086200000000005</v>
      </c>
      <c r="B943">
        <v>10.243</v>
      </c>
      <c r="C943">
        <f t="shared" si="14"/>
        <v>1.22670978559</v>
      </c>
    </row>
    <row r="944" spans="1:3" x14ac:dyDescent="0.2">
      <c r="A944">
        <v>8.0172399999999993</v>
      </c>
      <c r="B944">
        <v>12.688000000000001</v>
      </c>
      <c r="C944">
        <f t="shared" si="14"/>
        <v>1.26445131904</v>
      </c>
    </row>
    <row r="945" spans="1:3" x14ac:dyDescent="0.2">
      <c r="A945">
        <v>8.0258599999999998</v>
      </c>
      <c r="B945">
        <v>13.339</v>
      </c>
      <c r="C945">
        <f t="shared" si="14"/>
        <v>1.2743188971099999</v>
      </c>
    </row>
    <row r="946" spans="1:3" x14ac:dyDescent="0.2">
      <c r="A946">
        <v>8.0344800000000003</v>
      </c>
      <c r="B946">
        <v>11.557</v>
      </c>
      <c r="C946">
        <f t="shared" si="14"/>
        <v>1.24712671759</v>
      </c>
    </row>
    <row r="947" spans="1:3" x14ac:dyDescent="0.2">
      <c r="A947">
        <v>8.0431000000000008</v>
      </c>
      <c r="B947">
        <v>9.3019999999999996</v>
      </c>
      <c r="C947">
        <f t="shared" si="14"/>
        <v>1.2118975516399999</v>
      </c>
    </row>
    <row r="948" spans="1:3" x14ac:dyDescent="0.2">
      <c r="A948">
        <v>8.0517199999999995</v>
      </c>
      <c r="B948">
        <v>9.1129999999999995</v>
      </c>
      <c r="C948">
        <f t="shared" si="14"/>
        <v>1.2089032907899999</v>
      </c>
    </row>
    <row r="949" spans="1:3" x14ac:dyDescent="0.2">
      <c r="A949">
        <v>8.0603400000000001</v>
      </c>
      <c r="B949">
        <v>8.9390000000000001</v>
      </c>
      <c r="C949">
        <f t="shared" si="14"/>
        <v>1.20614098511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CFU Calibration</vt:lpstr>
      <vt:lpstr>OD 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Tiga</dc:creator>
  <cp:lastModifiedBy>Abdel Khalek, Tiga</cp:lastModifiedBy>
  <dcterms:created xsi:type="dcterms:W3CDTF">2023-07-12T14:04:45Z</dcterms:created>
  <dcterms:modified xsi:type="dcterms:W3CDTF">2024-04-26T18:53:51Z</dcterms:modified>
</cp:coreProperties>
</file>